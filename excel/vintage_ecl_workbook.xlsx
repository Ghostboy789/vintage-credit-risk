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orecard" sheetId="2" state="visible" r:id="rId2"/>
    <sheet name="ECL" sheetId="3" state="visible" r:id="rId3"/>
    <sheet name="Summary" sheetId="4" state="visible" r:id="rId4"/>
  </sheets>
  <definedNames>
    <definedName name="PD_TERM_GRADE">Inputs!$A$7:$A$216</definedName>
    <definedName name="PD_TERM_YEAR">Inputs!$B$7:$B$216</definedName>
    <definedName name="PD_TERM_CUM">Inputs!$D$7:$D$216</definedName>
    <definedName name="LGD_SEGMENT">Inputs!$B$220:$B$225</definedName>
    <definedName name="LGD_VALUE">Inputs!$C$220:$C$225</definedName>
    <definedName name="LGD_OVERALL">Inputs!$C$220</definedName>
    <definedName name="DISCOUNT_RATE">Inputs!$B$228</definedName>
    <definedName name="SICR_RATIO">Inputs!$B$233</definedName>
    <definedName name="SICR_ABSOLUTE">Inputs!$D$233</definedName>
    <definedName name="SCENARIO_WEIGHT">Inputs!$B$239:$B$241</definedName>
    <definedName name="FICO_LOWER">Scorecard!$C$6:$C$13</definedName>
    <definedName name="FICO_POINTS">Scorecard!$E$6:$E$13</definedName>
    <definedName name="LTV_PCT_LOWER">Scorecard!$C$14:$C$21</definedName>
    <definedName name="LTV_PCT_POINTS">Scorecard!$E$14:$E$21</definedName>
    <definedName name="DTI_PCT_LOWER">Scorecard!$C$22:$C$29</definedName>
    <definedName name="DTI_PCT_POINTS">Scorecard!$E$22:$E$29</definedName>
    <definedName name="RATE_SPREAD_PCT_LOWER">Scorecard!$C$30:$C$37</definedName>
    <definedName name="RATE_SPREAD_PCT_POINTS">Scorecard!$E$30:$E$37</definedName>
    <definedName name="CHANNEL_KEY">Scorecard!$D$38:$D$41</definedName>
    <definedName name="CHANNEL_POINTS">Scorecard!$E$38:$E$41</definedName>
    <definedName name="PROPERTY_TYPE_KEY">Scorecard!$D$42:$D$45</definedName>
    <definedName name="PROPERTY_TYPE_POINTS">Scorecard!$E$42:$E$45</definedName>
    <definedName name="TERM_BAND_KEY">Scorecard!$D$46:$D$48</definedName>
    <definedName name="TERM_BAND_POINTS">Scorecard!$E$46:$E$48</definedName>
    <definedName name="GRADE_SCORE_MIN">Scorecard!$B$52:$B$58</definedName>
    <definedName name="GRADE_LETTER">Scorecard!$A$52:$A$58</definedName>
    <definedName name="EXAMPLE_SCORE">Scorecard!$C$68</definedName>
    <definedName name="ECL_GRADE">ECL!$A$5:$A$25</definedName>
    <definedName name="ECL_STAGE">ECL!$B$5:$B$25</definedName>
    <definedName name="ECL_EAD">ECL!$D$5:$D$25</definedName>
    <definedName name="ECL_VALUE">ECL!$E$5:$E$25</definedName>
    <definedName name="TOTAL_EAD">ECL!$C$28</definedName>
    <definedName name="ECL_12M">ECL!$C$29</definedName>
    <definedName name="ECL_LIFETIME">ECL!$C$30</definedName>
    <definedName name="TOTAL_ECL">ECL!$C$31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0.0%"/>
    <numFmt numFmtId="166" formatCode="0.0000%"/>
  </numFmts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7F7F7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  <xf numFmtId="9" fontId="0" fillId="2" borderId="0" pivotButton="0" quotePrefix="0" xfId="0"/>
    <xf numFmtId="0" fontId="0" fillId="3" borderId="0" pivotButton="0" quotePrefix="0" xfId="0"/>
    <xf numFmtId="0" fontId="3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Stage mix (EAD)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'Summary'!B11</f>
            </strRef>
          </tx>
          <spPr>
            <a:ln>
              <a:prstDash val="solid"/>
            </a:ln>
          </spPr>
          <cat>
            <numRef>
              <f>'Summary'!$A$12:$A$14</f>
            </numRef>
          </cat>
          <val>
            <numRef>
              <f>'Summary'!$B$12:$B$14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EAD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16" customWidth="1" min="4" max="4"/>
    <col width="14" customWidth="1" min="5" max="5"/>
    <col width="10" customWidth="1" min="6" max="6"/>
    <col width="40" customWidth="1" min="7" max="7"/>
    <col width="10" customWidth="1" min="8" max="8"/>
  </cols>
  <sheetData>
    <row r="1">
      <c r="A1" s="1" t="inlineStr">
        <is>
          <t>Vintage ECL workbook -- Inputs</t>
        </is>
      </c>
    </row>
    <row r="2">
      <c r="A2" s="2" t="inlineStr">
        <is>
          <t>US mortgages (Freddie Mac Single-Family Loan-Level sample, non-commercial research). Illustrative: demonstrates a portfolio-lifecycle IFRS 9 workflow, not a production model or regulatory submission.</t>
        </is>
      </c>
    </row>
    <row r="3">
      <c r="A3" s="2" t="inlineStr">
        <is>
          <t>Every number below is pulled from the project's published artefacts (pd_models.json, lgd_ead.json, ecl.json). Yellow cells are pulled inputs; blue cells are live formulas.</t>
        </is>
      </c>
    </row>
    <row r="5">
      <c r="A5" s="3" t="inlineStr">
        <is>
          <t>PD term structure by grade</t>
        </is>
      </c>
    </row>
    <row r="6">
      <c r="A6" s="3" t="inlineStr">
        <is>
          <t>grade</t>
        </is>
      </c>
      <c r="B6" s="3" t="inlineStr">
        <is>
          <t>year</t>
        </is>
      </c>
      <c r="C6" s="3" t="inlineStr">
        <is>
          <t>marginal_pd</t>
        </is>
      </c>
      <c r="D6" s="3" t="inlineStr">
        <is>
          <t>cumulative_pd</t>
        </is>
      </c>
    </row>
    <row r="7">
      <c r="A7" s="4" t="inlineStr">
        <is>
          <t>A</t>
        </is>
      </c>
      <c r="B7" s="4" t="n">
        <v>1</v>
      </c>
      <c r="C7" s="4" t="n">
        <v>0.001296701891869102</v>
      </c>
      <c r="D7" s="4" t="n">
        <v>0.001296701891869102</v>
      </c>
    </row>
    <row r="8">
      <c r="A8" s="4" t="inlineStr">
        <is>
          <t>A</t>
        </is>
      </c>
      <c r="B8" s="4" t="n">
        <v>2</v>
      </c>
      <c r="C8" s="4" t="n">
        <v>0.001475424087261214</v>
      </c>
      <c r="D8" s="4" t="n">
        <v>0.002772125979130316</v>
      </c>
    </row>
    <row r="9">
      <c r="A9" s="4" t="inlineStr">
        <is>
          <t>A</t>
        </is>
      </c>
      <c r="B9" s="4" t="n">
        <v>3</v>
      </c>
      <c r="C9" s="4" t="n">
        <v>0.001655699241160486</v>
      </c>
      <c r="D9" s="4" t="n">
        <v>0.004427825220290802</v>
      </c>
    </row>
    <row r="10">
      <c r="A10" s="4" t="inlineStr">
        <is>
          <t>A</t>
        </is>
      </c>
      <c r="B10" s="4" t="n">
        <v>4</v>
      </c>
      <c r="C10" s="4" t="n">
        <v>0.001240385664424201</v>
      </c>
      <c r="D10" s="4" t="n">
        <v>0.005668210884715003</v>
      </c>
    </row>
    <row r="11">
      <c r="A11" s="4" t="inlineStr">
        <is>
          <t>A</t>
        </is>
      </c>
      <c r="B11" s="4" t="n">
        <v>5</v>
      </c>
      <c r="C11" s="4" t="n">
        <v>0.001140008083434066</v>
      </c>
      <c r="D11" s="4" t="n">
        <v>0.006808218968149069</v>
      </c>
    </row>
    <row r="12">
      <c r="A12" s="4" t="inlineStr">
        <is>
          <t>A</t>
        </is>
      </c>
      <c r="B12" s="4" t="n">
        <v>6</v>
      </c>
      <c r="C12" s="4" t="n">
        <v>0.0006441082761171659</v>
      </c>
      <c r="D12" s="4" t="n">
        <v>0.007452327244266235</v>
      </c>
    </row>
    <row r="13">
      <c r="A13" s="4" t="inlineStr">
        <is>
          <t>A</t>
        </is>
      </c>
      <c r="B13" s="4" t="n">
        <v>7</v>
      </c>
      <c r="C13" s="4" t="n">
        <v>0.000538307478191247</v>
      </c>
      <c r="D13" s="4" t="n">
        <v>0.007990634722457483</v>
      </c>
    </row>
    <row r="14">
      <c r="A14" s="4" t="inlineStr">
        <is>
          <t>A</t>
        </is>
      </c>
      <c r="B14" s="4" t="n">
        <v>8</v>
      </c>
      <c r="C14" s="4" t="n">
        <v>0.0004730644178895493</v>
      </c>
      <c r="D14" s="4" t="n">
        <v>0.008463699140347032</v>
      </c>
    </row>
    <row r="15">
      <c r="A15" s="4" t="inlineStr">
        <is>
          <t>A</t>
        </is>
      </c>
      <c r="B15" s="4" t="n">
        <v>9</v>
      </c>
      <c r="C15" s="4" t="n">
        <v>0.0004157288400026115</v>
      </c>
      <c r="D15" s="4" t="n">
        <v>0.008879427980349644</v>
      </c>
    </row>
    <row r="16">
      <c r="A16" s="4" t="inlineStr">
        <is>
          <t>A</t>
        </is>
      </c>
      <c r="B16" s="4" t="n">
        <v>10</v>
      </c>
      <c r="C16" s="4" t="n">
        <v>0.0003653423548128054</v>
      </c>
      <c r="D16" s="4" t="n">
        <v>0.009244770335162449</v>
      </c>
    </row>
    <row r="17">
      <c r="A17" s="4" t="inlineStr">
        <is>
          <t>A</t>
        </is>
      </c>
      <c r="B17" s="4" t="n">
        <v>11</v>
      </c>
      <c r="C17" s="4" t="n">
        <v>0.0002430419103086552</v>
      </c>
      <c r="D17" s="4" t="n">
        <v>0.009487812245471105</v>
      </c>
    </row>
    <row r="18">
      <c r="A18" s="4" t="inlineStr">
        <is>
          <t>A</t>
        </is>
      </c>
      <c r="B18" s="4" t="n">
        <v>12</v>
      </c>
      <c r="C18" s="4" t="n">
        <v>0.0002221384618390311</v>
      </c>
      <c r="D18" s="4" t="n">
        <v>0.009709950707310136</v>
      </c>
    </row>
    <row r="19">
      <c r="A19" s="4" t="inlineStr">
        <is>
          <t>A</t>
        </is>
      </c>
      <c r="B19" s="4" t="n">
        <v>13</v>
      </c>
      <c r="C19" s="4" t="n">
        <v>0.0002030328685515331</v>
      </c>
      <c r="D19" s="4" t="n">
        <v>0.009912983575861669</v>
      </c>
    </row>
    <row r="20">
      <c r="A20" s="4" t="inlineStr">
        <is>
          <t>A</t>
        </is>
      </c>
      <c r="B20" s="4" t="n">
        <v>14</v>
      </c>
      <c r="C20" s="4" t="n">
        <v>0.0001855705012585133</v>
      </c>
      <c r="D20" s="4" t="n">
        <v>0.01009855407712018</v>
      </c>
    </row>
    <row r="21">
      <c r="A21" s="4" t="inlineStr">
        <is>
          <t>A</t>
        </is>
      </c>
      <c r="B21" s="4" t="n">
        <v>15</v>
      </c>
      <c r="C21" s="4" t="n">
        <v>0.0001696100300557757</v>
      </c>
      <c r="D21" s="4" t="n">
        <v>0.01026816410717596</v>
      </c>
    </row>
    <row r="22">
      <c r="A22" s="4" t="inlineStr">
        <is>
          <t>A</t>
        </is>
      </c>
      <c r="B22" s="4" t="n">
        <v>16</v>
      </c>
      <c r="C22" s="4" t="n">
        <v>0.0001550222804832855</v>
      </c>
      <c r="D22" s="4" t="n">
        <v>0.01042318638765924</v>
      </c>
    </row>
    <row r="23">
      <c r="A23" s="4" t="inlineStr">
        <is>
          <t>A</t>
        </is>
      </c>
      <c r="B23" s="4" t="n">
        <v>17</v>
      </c>
      <c r="C23" s="4" t="n">
        <v>0.0001416891880647366</v>
      </c>
      <c r="D23" s="4" t="n">
        <v>0.01056487557572398</v>
      </c>
    </row>
    <row r="24">
      <c r="A24" s="4" t="inlineStr">
        <is>
          <t>A</t>
        </is>
      </c>
      <c r="B24" s="4" t="n">
        <v>18</v>
      </c>
      <c r="C24" s="4" t="n">
        <v>0.0001295028427646495</v>
      </c>
      <c r="D24" s="4" t="n">
        <v>0.01069437841848863</v>
      </c>
    </row>
    <row r="25">
      <c r="A25" s="4" t="inlineStr">
        <is>
          <t>A</t>
        </is>
      </c>
      <c r="B25" s="4" t="n">
        <v>19</v>
      </c>
      <c r="C25" s="4" t="n">
        <v>0.0001183646156294085</v>
      </c>
      <c r="D25" s="4" t="n">
        <v>0.01081274303411804</v>
      </c>
    </row>
    <row r="26">
      <c r="A26" s="4" t="inlineStr">
        <is>
          <t>A</t>
        </is>
      </c>
      <c r="B26" s="4" t="n">
        <v>20</v>
      </c>
      <c r="C26" s="4" t="n">
        <v>0.0001081843605437979</v>
      </c>
      <c r="D26" s="4" t="n">
        <v>0.01092092739466184</v>
      </c>
    </row>
    <row r="27">
      <c r="A27" s="4" t="inlineStr">
        <is>
          <t>A</t>
        </is>
      </c>
      <c r="B27" s="4" t="n">
        <v>21</v>
      </c>
      <c r="C27" s="4" t="n">
        <v>9.887968464253227e-05</v>
      </c>
      <c r="D27" s="4" t="n">
        <v>0.01101980707930437</v>
      </c>
    </row>
    <row r="28">
      <c r="A28" s="4" t="inlineStr">
        <is>
          <t>A</t>
        </is>
      </c>
      <c r="B28" s="4" t="n">
        <v>22</v>
      </c>
      <c r="C28" s="4" t="n">
        <v>9.037528147193128e-05</v>
      </c>
      <c r="D28" s="4" t="n">
        <v>0.0111101823607763</v>
      </c>
    </row>
    <row r="29">
      <c r="A29" s="4" t="inlineStr">
        <is>
          <t>A</t>
        </is>
      </c>
      <c r="B29" s="4" t="n">
        <v>23</v>
      </c>
      <c r="C29" s="4" t="n">
        <v>8.260232150475064e-05</v>
      </c>
      <c r="D29" s="4" t="n">
        <v>0.01119278468228105</v>
      </c>
    </row>
    <row r="30">
      <c r="A30" s="4" t="inlineStr">
        <is>
          <t>A</t>
        </is>
      </c>
      <c r="B30" s="4" t="n">
        <v>24</v>
      </c>
      <c r="C30" s="4" t="n">
        <v>7.549789507536219e-05</v>
      </c>
      <c r="D30" s="4" t="n">
        <v>0.01126828257735641</v>
      </c>
    </row>
    <row r="31">
      <c r="A31" s="4" t="inlineStr">
        <is>
          <t>A</t>
        </is>
      </c>
      <c r="B31" s="4" t="n">
        <v>25</v>
      </c>
      <c r="C31" s="4" t="n">
        <v>6.900450322673535e-05</v>
      </c>
      <c r="D31" s="4" t="n">
        <v>0.01133728708058315</v>
      </c>
    </row>
    <row r="32">
      <c r="A32" s="4" t="inlineStr">
        <is>
          <t>A</t>
        </is>
      </c>
      <c r="B32" s="4" t="n">
        <v>26</v>
      </c>
      <c r="C32" s="4" t="n">
        <v>6.306959234844188e-05</v>
      </c>
      <c r="D32" s="4" t="n">
        <v>0.01140035667293159</v>
      </c>
    </row>
    <row r="33">
      <c r="A33" s="4" t="inlineStr">
        <is>
          <t>A</t>
        </is>
      </c>
      <c r="B33" s="4" t="n">
        <v>27</v>
      </c>
      <c r="C33" s="4" t="n">
        <v>5.7645128839323e-05</v>
      </c>
      <c r="D33" s="4" t="n">
        <v>0.01145800180177091</v>
      </c>
    </row>
    <row r="34">
      <c r="A34" s="4" t="inlineStr">
        <is>
          <t>A</t>
        </is>
      </c>
      <c r="B34" s="4" t="n">
        <v>28</v>
      </c>
      <c r="C34" s="4" t="n">
        <v>5.268721035239479e-05</v>
      </c>
      <c r="D34" s="4" t="n">
        <v>0.01151068901212331</v>
      </c>
    </row>
    <row r="35">
      <c r="A35" s="4" t="inlineStr">
        <is>
          <t>A</t>
        </is>
      </c>
      <c r="B35" s="4" t="n">
        <v>29</v>
      </c>
      <c r="C35" s="4" t="n">
        <v>4.815571047564162e-05</v>
      </c>
      <c r="D35" s="4" t="n">
        <v>0.01155884472259895</v>
      </c>
    </row>
    <row r="36">
      <c r="A36" s="4" t="inlineStr">
        <is>
          <t>A</t>
        </is>
      </c>
      <c r="B36" s="4" t="n">
        <v>30</v>
      </c>
      <c r="C36" s="4" t="n">
        <v>4.401395397295724e-05</v>
      </c>
      <c r="D36" s="4" t="n">
        <v>0.01160285867657191</v>
      </c>
    </row>
    <row r="37">
      <c r="A37" s="4" t="inlineStr">
        <is>
          <t>B</t>
        </is>
      </c>
      <c r="B37" s="4" t="n">
        <v>1</v>
      </c>
      <c r="C37" s="4" t="n">
        <v>0.003688976773843296</v>
      </c>
      <c r="D37" s="4" t="n">
        <v>0.003688976773843296</v>
      </c>
    </row>
    <row r="38">
      <c r="A38" s="4" t="inlineStr">
        <is>
          <t>B</t>
        </is>
      </c>
      <c r="B38" s="4" t="n">
        <v>2</v>
      </c>
      <c r="C38" s="4" t="n">
        <v>0.004501691167274128</v>
      </c>
      <c r="D38" s="4" t="n">
        <v>0.008190667941117424</v>
      </c>
    </row>
    <row r="39">
      <c r="A39" s="4" t="inlineStr">
        <is>
          <t>B</t>
        </is>
      </c>
      <c r="B39" s="4" t="n">
        <v>3</v>
      </c>
      <c r="C39" s="4" t="n">
        <v>0.005105869299428176</v>
      </c>
      <c r="D39" s="4" t="n">
        <v>0.0132965372405456</v>
      </c>
    </row>
    <row r="40">
      <c r="A40" s="4" t="inlineStr">
        <is>
          <t>B</t>
        </is>
      </c>
      <c r="B40" s="4" t="n">
        <v>4</v>
      </c>
      <c r="C40" s="4" t="n">
        <v>0.003873368740757797</v>
      </c>
      <c r="D40" s="4" t="n">
        <v>0.0171699059813034</v>
      </c>
    </row>
    <row r="41">
      <c r="A41" s="4" t="inlineStr">
        <is>
          <t>B</t>
        </is>
      </c>
      <c r="B41" s="4" t="n">
        <v>5</v>
      </c>
      <c r="C41" s="4" t="n">
        <v>0.00359144726298412</v>
      </c>
      <c r="D41" s="4" t="n">
        <v>0.02076135324428752</v>
      </c>
    </row>
    <row r="42">
      <c r="A42" s="4" t="inlineStr">
        <is>
          <t>B</t>
        </is>
      </c>
      <c r="B42" s="4" t="n">
        <v>6</v>
      </c>
      <c r="C42" s="4" t="n">
        <v>0.002056864028054086</v>
      </c>
      <c r="D42" s="4" t="n">
        <v>0.0228182172723416</v>
      </c>
    </row>
    <row r="43">
      <c r="A43" s="4" t="inlineStr">
        <is>
          <t>B</t>
        </is>
      </c>
      <c r="B43" s="4" t="n">
        <v>7</v>
      </c>
      <c r="C43" s="4" t="n">
        <v>0.001739734668352593</v>
      </c>
      <c r="D43" s="4" t="n">
        <v>0.02455795194069419</v>
      </c>
    </row>
    <row r="44">
      <c r="A44" s="4" t="inlineStr">
        <is>
          <t>B</t>
        </is>
      </c>
      <c r="B44" s="4" t="n">
        <v>8</v>
      </c>
      <c r="C44" s="4" t="n">
        <v>0.001545108537102057</v>
      </c>
      <c r="D44" s="4" t="n">
        <v>0.02610306047779625</v>
      </c>
    </row>
    <row r="45">
      <c r="A45" s="4" t="inlineStr">
        <is>
          <t>B</t>
        </is>
      </c>
      <c r="B45" s="4" t="n">
        <v>9</v>
      </c>
      <c r="C45" s="4" t="n">
        <v>0.001372255456452058</v>
      </c>
      <c r="D45" s="4" t="n">
        <v>0.02747531593424831</v>
      </c>
    </row>
    <row r="46">
      <c r="A46" s="4" t="inlineStr">
        <is>
          <t>B</t>
        </is>
      </c>
      <c r="B46" s="4" t="n">
        <v>10</v>
      </c>
      <c r="C46" s="4" t="n">
        <v>0.001218739650027619</v>
      </c>
      <c r="D46" s="4" t="n">
        <v>0.02869405558427593</v>
      </c>
    </row>
    <row r="47">
      <c r="A47" s="4" t="inlineStr">
        <is>
          <t>B</t>
        </is>
      </c>
      <c r="B47" s="4" t="n">
        <v>11</v>
      </c>
      <c r="C47" s="4" t="n">
        <v>0.0008179340188413728</v>
      </c>
      <c r="D47" s="4" t="n">
        <v>0.0295119896031173</v>
      </c>
    </row>
    <row r="48">
      <c r="A48" s="4" t="inlineStr">
        <is>
          <t>B</t>
        </is>
      </c>
      <c r="B48" s="4" t="n">
        <v>12</v>
      </c>
      <c r="C48" s="4" t="n">
        <v>0.0007530063015865984</v>
      </c>
      <c r="D48" s="4" t="n">
        <v>0.0302649959047039</v>
      </c>
    </row>
    <row r="49">
      <c r="A49" s="4" t="inlineStr">
        <is>
          <t>B</t>
        </is>
      </c>
      <c r="B49" s="4" t="n">
        <v>13</v>
      </c>
      <c r="C49" s="4" t="n">
        <v>0.0006932325556434558</v>
      </c>
      <c r="D49" s="4" t="n">
        <v>0.03095822846034736</v>
      </c>
    </row>
    <row r="50">
      <c r="A50" s="4" t="inlineStr">
        <is>
          <t>B</t>
        </is>
      </c>
      <c r="B50" s="4" t="n">
        <v>14</v>
      </c>
      <c r="C50" s="4" t="n">
        <v>0.0006382036580456021</v>
      </c>
      <c r="D50" s="4" t="n">
        <v>0.03159643211839296</v>
      </c>
    </row>
    <row r="51">
      <c r="A51" s="4" t="inlineStr">
        <is>
          <t>B</t>
        </is>
      </c>
      <c r="B51" s="4" t="n">
        <v>15</v>
      </c>
      <c r="C51" s="4" t="n">
        <v>0.0005875429620652048</v>
      </c>
      <c r="D51" s="4" t="n">
        <v>0.03218397508045816</v>
      </c>
    </row>
    <row r="52">
      <c r="A52" s="4" t="inlineStr">
        <is>
          <t>B</t>
        </is>
      </c>
      <c r="B52" s="4" t="n">
        <v>16</v>
      </c>
      <c r="C52" s="4" t="n">
        <v>0.0005409037192445679</v>
      </c>
      <c r="D52" s="4" t="n">
        <v>0.03272487879970273</v>
      </c>
    </row>
    <row r="53">
      <c r="A53" s="4" t="inlineStr">
        <is>
          <t>B</t>
        </is>
      </c>
      <c r="B53" s="4" t="n">
        <v>17</v>
      </c>
      <c r="C53" s="4" t="n">
        <v>0.0004979667060672519</v>
      </c>
      <c r="D53" s="4" t="n">
        <v>0.03322284550576998</v>
      </c>
    </row>
    <row r="54">
      <c r="A54" s="4" t="inlineStr">
        <is>
          <t>B</t>
        </is>
      </c>
      <c r="B54" s="4" t="n">
        <v>18</v>
      </c>
      <c r="C54" s="4" t="n">
        <v>0.0004584380390243713</v>
      </c>
      <c r="D54" s="4" t="n">
        <v>0.03368128354479435</v>
      </c>
    </row>
    <row r="55">
      <c r="A55" s="4" t="inlineStr">
        <is>
          <t>B</t>
        </is>
      </c>
      <c r="B55" s="4" t="n">
        <v>19</v>
      </c>
      <c r="C55" s="4" t="n">
        <v>0.0004220471631212379</v>
      </c>
      <c r="D55" s="4" t="n">
        <v>0.0341033307079156</v>
      </c>
    </row>
    <row r="56">
      <c r="A56" s="4" t="inlineStr">
        <is>
          <t>B</t>
        </is>
      </c>
      <c r="B56" s="4" t="n">
        <v>20</v>
      </c>
      <c r="C56" s="4" t="n">
        <v>0.0003885450000566281</v>
      </c>
      <c r="D56" s="4" t="n">
        <v>0.03449187570797222</v>
      </c>
    </row>
    <row r="57">
      <c r="A57" s="4" t="inlineStr">
        <is>
          <t>B</t>
        </is>
      </c>
      <c r="B57" s="4" t="n">
        <v>21</v>
      </c>
      <c r="C57" s="4" t="n">
        <v>0.0003577022433998403</v>
      </c>
      <c r="D57" s="4" t="n">
        <v>0.03484957795137206</v>
      </c>
    </row>
    <row r="58">
      <c r="A58" s="4" t="inlineStr">
        <is>
          <t>B</t>
        </is>
      </c>
      <c r="B58" s="4" t="n">
        <v>22</v>
      </c>
      <c r="C58" s="4" t="n">
        <v>0.0003293077890968368</v>
      </c>
      <c r="D58" s="4" t="n">
        <v>0.0351788857404689</v>
      </c>
    </row>
    <row r="59">
      <c r="A59" s="4" t="inlineStr">
        <is>
          <t>B</t>
        </is>
      </c>
      <c r="B59" s="4" t="n">
        <v>23</v>
      </c>
      <c r="C59" s="4" t="n">
        <v>0.0003031672905630293</v>
      </c>
      <c r="D59" s="4" t="n">
        <v>0.03548205303103193</v>
      </c>
    </row>
    <row r="60">
      <c r="A60" s="4" t="inlineStr">
        <is>
          <t>B</t>
        </is>
      </c>
      <c r="B60" s="4" t="n">
        <v>24</v>
      </c>
      <c r="C60" s="4" t="n">
        <v>0.000279101828473</v>
      </c>
      <c r="D60" s="4" t="n">
        <v>0.03576115485950494</v>
      </c>
    </row>
    <row r="61">
      <c r="A61" s="4" t="inlineStr">
        <is>
          <t>B</t>
        </is>
      </c>
      <c r="B61" s="4" t="n">
        <v>25</v>
      </c>
      <c r="C61" s="4" t="n">
        <v>0.0002569466861425037</v>
      </c>
      <c r="D61" s="4" t="n">
        <v>0.03601810154564744</v>
      </c>
    </row>
    <row r="62">
      <c r="A62" s="4" t="inlineStr">
        <is>
          <t>B</t>
        </is>
      </c>
      <c r="B62" s="4" t="n">
        <v>26</v>
      </c>
      <c r="C62" s="4" t="n">
        <v>0.0002365502221208169</v>
      </c>
      <c r="D62" s="4" t="n">
        <v>0.03625465176776826</v>
      </c>
    </row>
    <row r="63">
      <c r="A63" s="4" t="inlineStr">
        <is>
          <t>B</t>
        </is>
      </c>
      <c r="B63" s="4" t="n">
        <v>27</v>
      </c>
      <c r="C63" s="4" t="n">
        <v>0.0002177728322768655</v>
      </c>
      <c r="D63" s="4" t="n">
        <v>0.03647242460004512</v>
      </c>
    </row>
    <row r="64">
      <c r="A64" s="4" t="inlineStr">
        <is>
          <t>B</t>
        </is>
      </c>
      <c r="B64" s="4" t="n">
        <v>28</v>
      </c>
      <c r="C64" s="4" t="n">
        <v>0.0002004859942751001</v>
      </c>
      <c r="D64" s="4" t="n">
        <v>0.03667291059432022</v>
      </c>
    </row>
    <row r="65">
      <c r="A65" s="4" t="inlineStr">
        <is>
          <t>B</t>
        </is>
      </c>
      <c r="B65" s="4" t="n">
        <v>29</v>
      </c>
      <c r="C65" s="4" t="n">
        <v>0.0001845713879010125</v>
      </c>
      <c r="D65" s="4" t="n">
        <v>0.03685748198222123</v>
      </c>
    </row>
    <row r="66">
      <c r="A66" s="4" t="inlineStr">
        <is>
          <t>B</t>
        </is>
      </c>
      <c r="B66" s="4" t="n">
        <v>30</v>
      </c>
      <c r="C66" s="4" t="n">
        <v>0.0001699200852153343</v>
      </c>
      <c r="D66" s="4" t="n">
        <v>0.03702740206743656</v>
      </c>
    </row>
    <row r="67">
      <c r="A67" s="4" t="inlineStr">
        <is>
          <t>C</t>
        </is>
      </c>
      <c r="B67" s="4" t="n">
        <v>1</v>
      </c>
      <c r="C67" s="4" t="n">
        <v>0.005520307980867357</v>
      </c>
      <c r="D67" s="4" t="n">
        <v>0.005520307980867357</v>
      </c>
    </row>
    <row r="68">
      <c r="A68" s="4" t="inlineStr">
        <is>
          <t>C</t>
        </is>
      </c>
      <c r="B68" s="4" t="n">
        <v>2</v>
      </c>
      <c r="C68" s="4" t="n">
        <v>0.007467484032157734</v>
      </c>
      <c r="D68" s="4" t="n">
        <v>0.01298779201302509</v>
      </c>
    </row>
    <row r="69">
      <c r="A69" s="4" t="inlineStr">
        <is>
          <t>C</t>
        </is>
      </c>
      <c r="B69" s="4" t="n">
        <v>3</v>
      </c>
      <c r="C69" s="4" t="n">
        <v>0.008539322172115742</v>
      </c>
      <c r="D69" s="4" t="n">
        <v>0.02152711418514083</v>
      </c>
    </row>
    <row r="70">
      <c r="A70" s="4" t="inlineStr">
        <is>
          <t>C</t>
        </is>
      </c>
      <c r="B70" s="4" t="n">
        <v>4</v>
      </c>
      <c r="C70" s="4" t="n">
        <v>0.006542078405791913</v>
      </c>
      <c r="D70" s="4" t="n">
        <v>0.02806919259093275</v>
      </c>
    </row>
    <row r="71">
      <c r="A71" s="4" t="inlineStr">
        <is>
          <t>C</t>
        </is>
      </c>
      <c r="B71" s="4" t="n">
        <v>5</v>
      </c>
      <c r="C71" s="4" t="n">
        <v>0.006106596807786044</v>
      </c>
      <c r="D71" s="4" t="n">
        <v>0.03417578939871879</v>
      </c>
    </row>
    <row r="72">
      <c r="A72" s="4" t="inlineStr">
        <is>
          <t>C</t>
        </is>
      </c>
      <c r="B72" s="4" t="n">
        <v>6</v>
      </c>
      <c r="C72" s="4" t="n">
        <v>0.003535718103644463</v>
      </c>
      <c r="D72" s="4" t="n">
        <v>0.03771150750236325</v>
      </c>
    </row>
    <row r="73">
      <c r="A73" s="4" t="inlineStr">
        <is>
          <t>C</t>
        </is>
      </c>
      <c r="B73" s="4" t="n">
        <v>7</v>
      </c>
      <c r="C73" s="4" t="n">
        <v>0.003019336758640153</v>
      </c>
      <c r="D73" s="4" t="n">
        <v>0.04073084426100341</v>
      </c>
    </row>
    <row r="74">
      <c r="A74" s="4" t="inlineStr">
        <is>
          <t>C</t>
        </is>
      </c>
      <c r="B74" s="4" t="n">
        <v>8</v>
      </c>
      <c r="C74" s="4" t="n">
        <v>0.002704064132154854</v>
      </c>
      <c r="D74" s="4" t="n">
        <v>0.04343490839315826</v>
      </c>
    </row>
    <row r="75">
      <c r="A75" s="4" t="inlineStr">
        <is>
          <t>C</t>
        </is>
      </c>
      <c r="B75" s="4" t="n">
        <v>9</v>
      </c>
      <c r="C75" s="4" t="n">
        <v>0.002421711592747125</v>
      </c>
      <c r="D75" s="4" t="n">
        <v>0.04585661998590539</v>
      </c>
    </row>
    <row r="76">
      <c r="A76" s="4" t="inlineStr">
        <is>
          <t>C</t>
        </is>
      </c>
      <c r="B76" s="4" t="n">
        <v>10</v>
      </c>
      <c r="C76" s="4" t="n">
        <v>0.002168841695989023</v>
      </c>
      <c r="D76" s="4" t="n">
        <v>0.04802546168189441</v>
      </c>
    </row>
    <row r="77">
      <c r="A77" s="4" t="inlineStr">
        <is>
          <t>C</t>
        </is>
      </c>
      <c r="B77" s="4" t="n">
        <v>11</v>
      </c>
      <c r="C77" s="4" t="n">
        <v>0.001465738224149188</v>
      </c>
      <c r="D77" s="4" t="n">
        <v>0.04949119990604359</v>
      </c>
    </row>
    <row r="78">
      <c r="A78" s="4" t="inlineStr">
        <is>
          <t>C</t>
        </is>
      </c>
      <c r="B78" s="4" t="n">
        <v>12</v>
      </c>
      <c r="C78" s="4" t="n">
        <v>0.001357094357278582</v>
      </c>
      <c r="D78" s="4" t="n">
        <v>0.05084829426332218</v>
      </c>
    </row>
    <row r="79">
      <c r="A79" s="4" t="inlineStr">
        <is>
          <t>C</t>
        </is>
      </c>
      <c r="B79" s="4" t="n">
        <v>13</v>
      </c>
      <c r="C79" s="4" t="n">
        <v>0.001256503422107599</v>
      </c>
      <c r="D79" s="4" t="n">
        <v>0.05210479768542978</v>
      </c>
    </row>
    <row r="80">
      <c r="A80" s="4" t="inlineStr">
        <is>
          <t>C</t>
        </is>
      </c>
      <c r="B80" s="4" t="n">
        <v>14</v>
      </c>
      <c r="C80" s="4" t="n">
        <v>0.001163368516935048</v>
      </c>
      <c r="D80" s="4" t="n">
        <v>0.05326816620236483</v>
      </c>
    </row>
    <row r="81">
      <c r="A81" s="4" t="inlineStr">
        <is>
          <t>C</t>
        </is>
      </c>
      <c r="B81" s="4" t="n">
        <v>15</v>
      </c>
      <c r="C81" s="4" t="n">
        <v>0.001077136983777952</v>
      </c>
      <c r="D81" s="4" t="n">
        <v>0.05434530318614278</v>
      </c>
    </row>
    <row r="82">
      <c r="A82" s="4" t="inlineStr">
        <is>
          <t>C</t>
        </is>
      </c>
      <c r="B82" s="4" t="n">
        <v>16</v>
      </c>
      <c r="C82" s="4" t="n">
        <v>0.0009972971289260357</v>
      </c>
      <c r="D82" s="4" t="n">
        <v>0.05534260031506882</v>
      </c>
    </row>
    <row r="83">
      <c r="A83" s="4" t="inlineStr">
        <is>
          <t>C</t>
        </is>
      </c>
      <c r="B83" s="4" t="n">
        <v>17</v>
      </c>
      <c r="C83" s="4" t="n">
        <v>0.0009233751865762207</v>
      </c>
      <c r="D83" s="4" t="n">
        <v>0.05626597550164504</v>
      </c>
    </row>
    <row r="84">
      <c r="A84" s="4" t="inlineStr">
        <is>
          <t>C</t>
        </is>
      </c>
      <c r="B84" s="4" t="n">
        <v>18</v>
      </c>
      <c r="C84" s="4" t="n">
        <v>0.0008549325075294632</v>
      </c>
      <c r="D84" s="4" t="n">
        <v>0.05712090800917451</v>
      </c>
    </row>
    <row r="85">
      <c r="A85" s="4" t="inlineStr">
        <is>
          <t>C</t>
        </is>
      </c>
      <c r="B85" s="4" t="n">
        <v>19</v>
      </c>
      <c r="C85" s="4" t="n">
        <v>0.0007915629562678123</v>
      </c>
      <c r="D85" s="4" t="n">
        <v>0.05791247096544232</v>
      </c>
    </row>
    <row r="86">
      <c r="A86" s="4" t="inlineStr">
        <is>
          <t>C</t>
        </is>
      </c>
      <c r="B86" s="4" t="n">
        <v>20</v>
      </c>
      <c r="C86" s="4" t="n">
        <v>0.0007328905009660603</v>
      </c>
      <c r="D86" s="4" t="n">
        <v>0.05864536146640838</v>
      </c>
    </row>
    <row r="87">
      <c r="A87" s="4" t="inlineStr">
        <is>
          <t>C</t>
        </is>
      </c>
      <c r="B87" s="4" t="n">
        <v>21</v>
      </c>
      <c r="C87" s="4" t="n">
        <v>0.0006785669821372415</v>
      </c>
      <c r="D87" s="4" t="n">
        <v>0.05932392844854562</v>
      </c>
    </row>
    <row r="88">
      <c r="A88" s="4" t="inlineStr">
        <is>
          <t>C</t>
        </is>
      </c>
      <c r="B88" s="4" t="n">
        <v>22</v>
      </c>
      <c r="C88" s="4" t="n">
        <v>0.0006282700466712241</v>
      </c>
      <c r="D88" s="4" t="n">
        <v>0.05995219849521684</v>
      </c>
    </row>
    <row r="89">
      <c r="A89" s="4" t="inlineStr">
        <is>
          <t>C</t>
        </is>
      </c>
      <c r="B89" s="4" t="n">
        <v>23</v>
      </c>
      <c r="C89" s="4" t="n">
        <v>0.0005817012350070824</v>
      </c>
      <c r="D89" s="4" t="n">
        <v>0.06053389973022392</v>
      </c>
    </row>
    <row r="90">
      <c r="A90" s="4" t="inlineStr">
        <is>
          <t>C</t>
        </is>
      </c>
      <c r="B90" s="4" t="n">
        <v>24</v>
      </c>
      <c r="C90" s="4" t="n">
        <v>0.0005385842100886249</v>
      </c>
      <c r="D90" s="4" t="n">
        <v>0.06107248394031254</v>
      </c>
    </row>
    <row r="91">
      <c r="A91" s="4" t="inlineStr">
        <is>
          <t>C</t>
        </is>
      </c>
      <c r="B91" s="4" t="n">
        <v>25</v>
      </c>
      <c r="C91" s="4" t="n">
        <v>0.0004986631175937876</v>
      </c>
      <c r="D91" s="4" t="n">
        <v>0.06157114705790633</v>
      </c>
    </row>
    <row r="92">
      <c r="A92" s="4" t="inlineStr">
        <is>
          <t>C</t>
        </is>
      </c>
      <c r="B92" s="4" t="n">
        <v>26</v>
      </c>
      <c r="C92" s="4" t="n">
        <v>0.0004617010677075686</v>
      </c>
      <c r="D92" s="4" t="n">
        <v>0.0620328481256139</v>
      </c>
    </row>
    <row r="93">
      <c r="A93" s="4" t="inlineStr">
        <is>
          <t>C</t>
        </is>
      </c>
      <c r="B93" s="4" t="n">
        <v>27</v>
      </c>
      <c r="C93" s="4" t="n">
        <v>0.0004274787294294261</v>
      </c>
      <c r="D93" s="4" t="n">
        <v>0.06246032685504332</v>
      </c>
    </row>
    <row r="94">
      <c r="A94" s="4" t="inlineStr">
        <is>
          <t>C</t>
        </is>
      </c>
      <c r="B94" s="4" t="n">
        <v>28</v>
      </c>
      <c r="C94" s="4" t="n">
        <v>0.0003957930290738225</v>
      </c>
      <c r="D94" s="4" t="n">
        <v>0.06285611988411714</v>
      </c>
    </row>
    <row r="95">
      <c r="A95" s="4" t="inlineStr">
        <is>
          <t>C</t>
        </is>
      </c>
      <c r="B95" s="4" t="n">
        <v>29</v>
      </c>
      <c r="C95" s="4" t="n">
        <v>0.0003664559452408822</v>
      </c>
      <c r="D95" s="4" t="n">
        <v>0.06322257582935803</v>
      </c>
    </row>
    <row r="96">
      <c r="A96" s="4" t="inlineStr">
        <is>
          <t>C</t>
        </is>
      </c>
      <c r="B96" s="4" t="n">
        <v>30</v>
      </c>
      <c r="C96" s="4" t="n">
        <v>0.0003392933931065798</v>
      </c>
      <c r="D96" s="4" t="n">
        <v>0.06356186922246461</v>
      </c>
    </row>
    <row r="97">
      <c r="A97" s="4" t="inlineStr">
        <is>
          <t>D</t>
        </is>
      </c>
      <c r="B97" s="4" t="n">
        <v>1</v>
      </c>
      <c r="C97" s="4" t="n">
        <v>0.007498855802521808</v>
      </c>
      <c r="D97" s="4" t="n">
        <v>0.007498855802521808</v>
      </c>
    </row>
    <row r="98">
      <c r="A98" s="4" t="inlineStr">
        <is>
          <t>D</t>
        </is>
      </c>
      <c r="B98" s="4" t="n">
        <v>2</v>
      </c>
      <c r="C98" s="4" t="n">
        <v>0.01163852263085587</v>
      </c>
      <c r="D98" s="4" t="n">
        <v>0.01913737843337767</v>
      </c>
    </row>
    <row r="99">
      <c r="A99" s="4" t="inlineStr">
        <is>
          <t>D</t>
        </is>
      </c>
      <c r="B99" s="4" t="n">
        <v>3</v>
      </c>
      <c r="C99" s="4" t="n">
        <v>0.01337004748301055</v>
      </c>
      <c r="D99" s="4" t="n">
        <v>0.03250742591638822</v>
      </c>
    </row>
    <row r="100">
      <c r="A100" s="4" t="inlineStr">
        <is>
          <t>D</t>
        </is>
      </c>
      <c r="B100" s="4" t="n">
        <v>4</v>
      </c>
      <c r="C100" s="4" t="n">
        <v>0.01030934174904428</v>
      </c>
      <c r="D100" s="4" t="n">
        <v>0.0428167676654325</v>
      </c>
    </row>
    <row r="101">
      <c r="A101" s="4" t="inlineStr">
        <is>
          <t>D</t>
        </is>
      </c>
      <c r="B101" s="4" t="n">
        <v>5</v>
      </c>
      <c r="C101" s="4" t="n">
        <v>0.009654780783512666</v>
      </c>
      <c r="D101" s="4" t="n">
        <v>0.05247154844894517</v>
      </c>
    </row>
    <row r="102">
      <c r="A102" s="4" t="inlineStr">
        <is>
          <t>D</t>
        </is>
      </c>
      <c r="B102" s="4" t="n">
        <v>6</v>
      </c>
      <c r="C102" s="4" t="n">
        <v>0.005637214462220812</v>
      </c>
      <c r="D102" s="4" t="n">
        <v>0.05810876291116598</v>
      </c>
    </row>
    <row r="103">
      <c r="A103" s="4" t="inlineStr">
        <is>
          <t>D</t>
        </is>
      </c>
      <c r="B103" s="4" t="n">
        <v>7</v>
      </c>
      <c r="C103" s="4" t="n">
        <v>0.004848377318010043</v>
      </c>
      <c r="D103" s="4" t="n">
        <v>0.06295714022917602</v>
      </c>
    </row>
    <row r="104">
      <c r="A104" s="4" t="inlineStr">
        <is>
          <t>D</t>
        </is>
      </c>
      <c r="B104" s="4" t="n">
        <v>8</v>
      </c>
      <c r="C104" s="4" t="n">
        <v>0.0043676980283743</v>
      </c>
      <c r="D104" s="4" t="n">
        <v>0.06732483825755033</v>
      </c>
    </row>
    <row r="105">
      <c r="A105" s="4" t="inlineStr">
        <is>
          <t>D</t>
        </is>
      </c>
      <c r="B105" s="4" t="n">
        <v>9</v>
      </c>
      <c r="C105" s="4" t="n">
        <v>0.003934674390171965</v>
      </c>
      <c r="D105" s="4" t="n">
        <v>0.07125951264772229</v>
      </c>
    </row>
    <row r="106">
      <c r="A106" s="4" t="inlineStr">
        <is>
          <t>D</t>
        </is>
      </c>
      <c r="B106" s="4" t="n">
        <v>10</v>
      </c>
      <c r="C106" s="4" t="n">
        <v>0.003544581712403214</v>
      </c>
      <c r="D106" s="4" t="n">
        <v>0.0748040943601255</v>
      </c>
    </row>
    <row r="107">
      <c r="A107" s="4" t="inlineStr">
        <is>
          <t>D</t>
        </is>
      </c>
      <c r="B107" s="4" t="n">
        <v>11</v>
      </c>
      <c r="C107" s="4" t="n">
        <v>0.002407108554463597</v>
      </c>
      <c r="D107" s="4" t="n">
        <v>0.07721120291458909</v>
      </c>
    </row>
    <row r="108">
      <c r="A108" s="4" t="inlineStr">
        <is>
          <t>D</t>
        </is>
      </c>
      <c r="B108" s="4" t="n">
        <v>12</v>
      </c>
      <c r="C108" s="4" t="n">
        <v>0.002237430147373588</v>
      </c>
      <c r="D108" s="4" t="n">
        <v>0.07944863306196268</v>
      </c>
    </row>
    <row r="109">
      <c r="A109" s="4" t="inlineStr">
        <is>
          <t>D</t>
        </is>
      </c>
      <c r="B109" s="4" t="n">
        <v>13</v>
      </c>
      <c r="C109" s="4" t="n">
        <v>0.002079712464605386</v>
      </c>
      <c r="D109" s="4" t="n">
        <v>0.08152834552656806</v>
      </c>
    </row>
    <row r="110">
      <c r="A110" s="4" t="inlineStr">
        <is>
          <t>D</t>
        </is>
      </c>
      <c r="B110" s="4" t="n">
        <v>14</v>
      </c>
      <c r="C110" s="4" t="n">
        <v>0.001933112388117304</v>
      </c>
      <c r="D110" s="4" t="n">
        <v>0.08346145791468536</v>
      </c>
    </row>
    <row r="111">
      <c r="A111" s="4" t="inlineStr">
        <is>
          <t>D</t>
        </is>
      </c>
      <c r="B111" s="4" t="n">
        <v>15</v>
      </c>
      <c r="C111" s="4" t="n">
        <v>0.001796846231722541</v>
      </c>
      <c r="D111" s="4" t="n">
        <v>0.08525830414640789</v>
      </c>
    </row>
    <row r="112">
      <c r="A112" s="4" t="inlineStr">
        <is>
          <t>D</t>
        </is>
      </c>
      <c r="B112" s="4" t="n">
        <v>16</v>
      </c>
      <c r="C112" s="4" t="n">
        <v>0.001670185551705014</v>
      </c>
      <c r="D112" s="4" t="n">
        <v>0.08692848969811291</v>
      </c>
    </row>
    <row r="113">
      <c r="A113" s="4" t="inlineStr">
        <is>
          <t>D</t>
        </is>
      </c>
      <c r="B113" s="4" t="n">
        <v>17</v>
      </c>
      <c r="C113" s="4" t="n">
        <v>0.001552453252747185</v>
      </c>
      <c r="D113" s="4" t="n">
        <v>0.08848094295086009</v>
      </c>
    </row>
    <row r="114">
      <c r="A114" s="4" t="inlineStr">
        <is>
          <t>D</t>
        </is>
      </c>
      <c r="B114" s="4" t="n">
        <v>18</v>
      </c>
      <c r="C114" s="4" t="n">
        <v>0.001443019968353185</v>
      </c>
      <c r="D114" s="4" t="n">
        <v>0.08992396291921327</v>
      </c>
    </row>
    <row r="115">
      <c r="A115" s="4" t="inlineStr">
        <is>
          <t>D</t>
        </is>
      </c>
      <c r="B115" s="4" t="n">
        <v>19</v>
      </c>
      <c r="C115" s="4" t="n">
        <v>0.001341300696417896</v>
      </c>
      <c r="D115" s="4" t="n">
        <v>0.09126526361563117</v>
      </c>
    </row>
    <row r="116">
      <c r="A116" s="4" t="inlineStr">
        <is>
          <t>D</t>
        </is>
      </c>
      <c r="B116" s="4" t="n">
        <v>20</v>
      </c>
      <c r="C116" s="4" t="n">
        <v>0.001246751671956626</v>
      </c>
      <c r="D116" s="4" t="n">
        <v>0.09251201528758779</v>
      </c>
    </row>
    <row r="117">
      <c r="A117" s="4" t="inlineStr">
        <is>
          <t>D</t>
        </is>
      </c>
      <c r="B117" s="4" t="n">
        <v>21</v>
      </c>
      <c r="C117" s="4" t="n">
        <v>0.001158867460277795</v>
      </c>
      <c r="D117" s="4" t="n">
        <v>0.09367088274786559</v>
      </c>
    </row>
    <row r="118">
      <c r="A118" s="4" t="inlineStr">
        <is>
          <t>D</t>
        </is>
      </c>
      <c r="B118" s="4" t="n">
        <v>22</v>
      </c>
      <c r="C118" s="4" t="n">
        <v>0.001077178255059462</v>
      </c>
      <c r="D118" s="4" t="n">
        <v>0.09474806100292504</v>
      </c>
    </row>
    <row r="119">
      <c r="A119" s="4" t="inlineStr">
        <is>
          <t>D</t>
        </is>
      </c>
      <c r="B119" s="4" t="n">
        <v>23</v>
      </c>
      <c r="C119" s="4" t="n">
        <v>0.001001247366885947</v>
      </c>
      <c r="D119" s="4" t="n">
        <v>0.09574930836981099</v>
      </c>
    </row>
    <row r="120">
      <c r="A120" s="4" t="inlineStr">
        <is>
          <t>D</t>
        </is>
      </c>
      <c r="B120" s="4" t="n">
        <v>24</v>
      </c>
      <c r="C120" s="4" t="n">
        <v>0.0009306688888188743</v>
      </c>
      <c r="D120" s="4" t="n">
        <v>0.09667997725862987</v>
      </c>
    </row>
    <row r="121">
      <c r="A121" s="4" t="inlineStr">
        <is>
          <t>D</t>
        </is>
      </c>
      <c r="B121" s="4" t="n">
        <v>25</v>
      </c>
      <c r="C121" s="4" t="n">
        <v>0.0008650655265233982</v>
      </c>
      <c r="D121" s="4" t="n">
        <v>0.09754504278515326</v>
      </c>
    </row>
    <row r="122">
      <c r="A122" s="4" t="inlineStr">
        <is>
          <t>D</t>
        </is>
      </c>
      <c r="B122" s="4" t="n">
        <v>26</v>
      </c>
      <c r="C122" s="4" t="n">
        <v>0.0008040865813500344</v>
      </c>
      <c r="D122" s="4" t="n">
        <v>0.09834912936650329</v>
      </c>
    </row>
    <row r="123">
      <c r="A123" s="4" t="inlineStr">
        <is>
          <t>D</t>
        </is>
      </c>
      <c r="B123" s="4" t="n">
        <v>27</v>
      </c>
      <c r="C123" s="4" t="n">
        <v>0.0007474060755901563</v>
      </c>
      <c r="D123" s="4" t="n">
        <v>0.09909653544209344</v>
      </c>
    </row>
    <row r="124">
      <c r="A124" s="4" t="inlineStr">
        <is>
          <t>D</t>
        </is>
      </c>
      <c r="B124" s="4" t="n">
        <v>28</v>
      </c>
      <c r="C124" s="4" t="n">
        <v>0.000694721009883266</v>
      </c>
      <c r="D124" s="4" t="n">
        <v>0.09979125645197671</v>
      </c>
    </row>
    <row r="125">
      <c r="A125" s="4" t="inlineStr">
        <is>
          <t>D</t>
        </is>
      </c>
      <c r="B125" s="4" t="n">
        <v>29</v>
      </c>
      <c r="C125" s="4" t="n">
        <v>0.0006457497434605835</v>
      </c>
      <c r="D125" s="4" t="n">
        <v>0.1004370061954373</v>
      </c>
    </row>
    <row r="126">
      <c r="A126" s="4" t="inlineStr">
        <is>
          <t>D</t>
        </is>
      </c>
      <c r="B126" s="4" t="n">
        <v>30</v>
      </c>
      <c r="C126" s="4" t="n">
        <v>0.0006002304885661608</v>
      </c>
      <c r="D126" s="4" t="n">
        <v>0.1010372366840035</v>
      </c>
    </row>
    <row r="127">
      <c r="A127" s="4" t="inlineStr">
        <is>
          <t>E</t>
        </is>
      </c>
      <c r="B127" s="4" t="n">
        <v>1</v>
      </c>
      <c r="C127" s="4" t="n">
        <v>0.009323020049290594</v>
      </c>
      <c r="D127" s="4" t="n">
        <v>0.009323020049290594</v>
      </c>
    </row>
    <row r="128">
      <c r="A128" s="4" t="inlineStr">
        <is>
          <t>E</t>
        </is>
      </c>
      <c r="B128" s="4" t="n">
        <v>2</v>
      </c>
      <c r="C128" s="4" t="n">
        <v>0.01640247501089808</v>
      </c>
      <c r="D128" s="4" t="n">
        <v>0.02572549506018868</v>
      </c>
    </row>
    <row r="129">
      <c r="A129" s="4" t="inlineStr">
        <is>
          <t>E</t>
        </is>
      </c>
      <c r="B129" s="4" t="n">
        <v>3</v>
      </c>
      <c r="C129" s="4" t="n">
        <v>0.01891605674722068</v>
      </c>
      <c r="D129" s="4" t="n">
        <v>0.04464155180740936</v>
      </c>
    </row>
    <row r="130">
      <c r="A130" s="4" t="inlineStr">
        <is>
          <t>E</t>
        </is>
      </c>
      <c r="B130" s="4" t="n">
        <v>4</v>
      </c>
      <c r="C130" s="4" t="n">
        <v>0.01467224049140982</v>
      </c>
      <c r="D130" s="4" t="n">
        <v>0.05931379229881918</v>
      </c>
    </row>
    <row r="131">
      <c r="A131" s="4" t="inlineStr">
        <is>
          <t>E</t>
        </is>
      </c>
      <c r="B131" s="4" t="n">
        <v>5</v>
      </c>
      <c r="C131" s="4" t="n">
        <v>0.01377673948452482</v>
      </c>
      <c r="D131" s="4" t="n">
        <v>0.073090531783344</v>
      </c>
    </row>
    <row r="132">
      <c r="A132" s="4" t="inlineStr">
        <is>
          <t>E</t>
        </is>
      </c>
      <c r="B132" s="4" t="n">
        <v>6</v>
      </c>
      <c r="C132" s="4" t="n">
        <v>0.008109589620604625</v>
      </c>
      <c r="D132" s="4" t="n">
        <v>0.08120012140394862</v>
      </c>
    </row>
    <row r="133">
      <c r="A133" s="4" t="inlineStr">
        <is>
          <t>E</t>
        </is>
      </c>
      <c r="B133" s="4" t="n">
        <v>7</v>
      </c>
      <c r="C133" s="4" t="n">
        <v>0.007022349681903153</v>
      </c>
      <c r="D133" s="4" t="n">
        <v>0.08822247108585178</v>
      </c>
    </row>
    <row r="134">
      <c r="A134" s="4" t="inlineStr">
        <is>
          <t>E</t>
        </is>
      </c>
      <c r="B134" s="4" t="n">
        <v>8</v>
      </c>
      <c r="C134" s="4" t="n">
        <v>0.006360938322076086</v>
      </c>
      <c r="D134" s="4" t="n">
        <v>0.09458340940792787</v>
      </c>
    </row>
    <row r="135">
      <c r="A135" s="4" t="inlineStr">
        <is>
          <t>E</t>
        </is>
      </c>
      <c r="B135" s="4" t="n">
        <v>9</v>
      </c>
      <c r="C135" s="4" t="n">
        <v>0.005761823060666856</v>
      </c>
      <c r="D135" s="4" t="n">
        <v>0.1003452324685947</v>
      </c>
    </row>
    <row r="136">
      <c r="A136" s="4" t="inlineStr">
        <is>
          <t>E</t>
        </is>
      </c>
      <c r="B136" s="4" t="n">
        <v>10</v>
      </c>
      <c r="C136" s="4" t="n">
        <v>0.005219136438914094</v>
      </c>
      <c r="D136" s="4" t="n">
        <v>0.1055643689075088</v>
      </c>
    </row>
    <row r="137">
      <c r="A137" s="4" t="inlineStr">
        <is>
          <t>E</t>
        </is>
      </c>
      <c r="B137" s="4" t="n">
        <v>11</v>
      </c>
      <c r="C137" s="4" t="n">
        <v>0.003560281808922409</v>
      </c>
      <c r="D137" s="4" t="n">
        <v>0.1091246507164312</v>
      </c>
    </row>
    <row r="138">
      <c r="A138" s="4" t="inlineStr">
        <is>
          <t>E</t>
        </is>
      </c>
      <c r="B138" s="4" t="n">
        <v>12</v>
      </c>
      <c r="C138" s="4" t="n">
        <v>0.003321326970440302</v>
      </c>
      <c r="D138" s="4" t="n">
        <v>0.1124459776868715</v>
      </c>
    </row>
    <row r="139">
      <c r="A139" s="4" t="inlineStr">
        <is>
          <t>E</t>
        </is>
      </c>
      <c r="B139" s="4" t="n">
        <v>13</v>
      </c>
      <c r="C139" s="4" t="n">
        <v>0.003098410023871952</v>
      </c>
      <c r="D139" s="4" t="n">
        <v>0.1155443877107435</v>
      </c>
    </row>
    <row r="140">
      <c r="A140" s="4" t="inlineStr">
        <is>
          <t>E</t>
        </is>
      </c>
      <c r="B140" s="4" t="n">
        <v>14</v>
      </c>
      <c r="C140" s="4" t="n">
        <v>0.002890454556709157</v>
      </c>
      <c r="D140" s="4" t="n">
        <v>0.1184348422674526</v>
      </c>
    </row>
    <row r="141">
      <c r="A141" s="4" t="inlineStr">
        <is>
          <t>E</t>
        </is>
      </c>
      <c r="B141" s="4" t="n">
        <v>15</v>
      </c>
      <c r="C141" s="4" t="n">
        <v>0.002696456401841929</v>
      </c>
      <c r="D141" s="4" t="n">
        <v>0.1211312986692946</v>
      </c>
    </row>
    <row r="142">
      <c r="A142" s="4" t="inlineStr">
        <is>
          <t>E</t>
        </is>
      </c>
      <c r="B142" s="4" t="n">
        <v>16</v>
      </c>
      <c r="C142" s="4" t="n">
        <v>0.002515478788676189</v>
      </c>
      <c r="D142" s="4" t="n">
        <v>0.1236467774579708</v>
      </c>
    </row>
    <row r="143">
      <c r="A143" s="4" t="inlineStr">
        <is>
          <t>E</t>
        </is>
      </c>
      <c r="B143" s="4" t="n">
        <v>17</v>
      </c>
      <c r="C143" s="4" t="n">
        <v>0.002346647819693087</v>
      </c>
      <c r="D143" s="4" t="n">
        <v>0.1259934252776639</v>
      </c>
    </row>
    <row r="144">
      <c r="A144" s="4" t="inlineStr">
        <is>
          <t>E</t>
        </is>
      </c>
      <c r="B144" s="4" t="n">
        <v>18</v>
      </c>
      <c r="C144" s="4" t="n">
        <v>0.002189148250607327</v>
      </c>
      <c r="D144" s="4" t="n">
        <v>0.1281825735282712</v>
      </c>
    </row>
    <row r="145">
      <c r="A145" s="4" t="inlineStr">
        <is>
          <t>E</t>
        </is>
      </c>
      <c r="B145" s="4" t="n">
        <v>19</v>
      </c>
      <c r="C145" s="4" t="n">
        <v>0.002042219553747909</v>
      </c>
      <c r="D145" s="4" t="n">
        <v>0.1302247930820191</v>
      </c>
    </row>
    <row r="146">
      <c r="A146" s="4" t="inlineStr">
        <is>
          <t>E</t>
        </is>
      </c>
      <c r="B146" s="4" t="n">
        <v>20</v>
      </c>
      <c r="C146" s="4" t="n">
        <v>0.00190515224565228</v>
      </c>
      <c r="D146" s="4" t="n">
        <v>0.1321299453276714</v>
      </c>
    </row>
    <row r="147">
      <c r="A147" s="4" t="inlineStr">
        <is>
          <t>E</t>
        </is>
      </c>
      <c r="B147" s="4" t="n">
        <v>21</v>
      </c>
      <c r="C147" s="4" t="n">
        <v>0.001777284461140735</v>
      </c>
      <c r="D147" s="4" t="n">
        <v>0.1339072297888121</v>
      </c>
    </row>
    <row r="148">
      <c r="A148" s="4" t="inlineStr">
        <is>
          <t>E</t>
        </is>
      </c>
      <c r="B148" s="4" t="n">
        <v>22</v>
      </c>
      <c r="C148" s="4" t="n">
        <v>0.001657998757328097</v>
      </c>
      <c r="D148" s="4" t="n">
        <v>0.1355652285461402</v>
      </c>
    </row>
    <row r="149">
      <c r="A149" s="4" t="inlineStr">
        <is>
          <t>E</t>
        </is>
      </c>
      <c r="B149" s="4" t="n">
        <v>23</v>
      </c>
      <c r="C149" s="4" t="n">
        <v>0.001546719132140004</v>
      </c>
      <c r="D149" s="4" t="n">
        <v>0.1371119476782802</v>
      </c>
    </row>
    <row r="150">
      <c r="A150" s="4" t="inlineStr">
        <is>
          <t>E</t>
        </is>
      </c>
      <c r="B150" s="4" t="n">
        <v>24</v>
      </c>
      <c r="C150" s="4" t="n">
        <v>0.001442908242936949</v>
      </c>
      <c r="D150" s="4" t="n">
        <v>0.1385548559212171</v>
      </c>
    </row>
    <row r="151">
      <c r="A151" s="4" t="inlineStr">
        <is>
          <t>E</t>
        </is>
      </c>
      <c r="B151" s="4" t="n">
        <v>25</v>
      </c>
      <c r="C151" s="4" t="n">
        <v>0.001346064811815451</v>
      </c>
      <c r="D151" s="4" t="n">
        <v>0.1399009207330326</v>
      </c>
    </row>
    <row r="152">
      <c r="A152" s="4" t="inlineStr">
        <is>
          <t>E</t>
        </is>
      </c>
      <c r="B152" s="4" t="n">
        <v>26</v>
      </c>
      <c r="C152" s="4" t="n">
        <v>0.001255721205057209</v>
      </c>
      <c r="D152" s="4" t="n">
        <v>0.1411566419380898</v>
      </c>
    </row>
    <row r="153">
      <c r="A153" s="4" t="inlineStr">
        <is>
          <t>E</t>
        </is>
      </c>
      <c r="B153" s="4" t="n">
        <v>27</v>
      </c>
      <c r="C153" s="4" t="n">
        <v>0.00117144117503795</v>
      </c>
      <c r="D153" s="4" t="n">
        <v>0.1423280831131277</v>
      </c>
    </row>
    <row r="154">
      <c r="A154" s="4" t="inlineStr">
        <is>
          <t>E</t>
        </is>
      </c>
      <c r="B154" s="4" t="n">
        <v>28</v>
      </c>
      <c r="C154" s="4" t="n">
        <v>0.00109281775369221</v>
      </c>
      <c r="D154" s="4" t="n">
        <v>0.1434209008668199</v>
      </c>
    </row>
    <row r="155">
      <c r="A155" s="4" t="inlineStr">
        <is>
          <t>E</t>
        </is>
      </c>
      <c r="B155" s="4" t="n">
        <v>29</v>
      </c>
      <c r="C155" s="4" t="n">
        <v>0.00101947128736208</v>
      </c>
      <c r="D155" s="4" t="n">
        <v>0.144440372154182</v>
      </c>
    </row>
    <row r="156">
      <c r="A156" s="4" t="inlineStr">
        <is>
          <t>E</t>
        </is>
      </c>
      <c r="B156" s="4" t="n">
        <v>30</v>
      </c>
      <c r="C156" s="4" t="n">
        <v>0.0009510476035406911</v>
      </c>
      <c r="D156" s="4" t="n">
        <v>0.1453914197577227</v>
      </c>
    </row>
    <row r="157">
      <c r="A157" s="4" t="inlineStr">
        <is>
          <t>F</t>
        </is>
      </c>
      <c r="B157" s="4" t="n">
        <v>1</v>
      </c>
      <c r="C157" s="4" t="n">
        <v>0.01181236308537032</v>
      </c>
      <c r="D157" s="4" t="n">
        <v>0.01181236308537032</v>
      </c>
    </row>
    <row r="158">
      <c r="A158" s="4" t="inlineStr">
        <is>
          <t>F</t>
        </is>
      </c>
      <c r="B158" s="4" t="n">
        <v>2</v>
      </c>
      <c r="C158" s="4" t="n">
        <v>0.02205950434918134</v>
      </c>
      <c r="D158" s="4" t="n">
        <v>0.03387186743455166</v>
      </c>
    </row>
    <row r="159">
      <c r="A159" s="4" t="inlineStr">
        <is>
          <t>F</t>
        </is>
      </c>
      <c r="B159" s="4" t="n">
        <v>3</v>
      </c>
      <c r="C159" s="4" t="n">
        <v>0.02552907925725853</v>
      </c>
      <c r="D159" s="4" t="n">
        <v>0.05940094669181019</v>
      </c>
    </row>
    <row r="160">
      <c r="A160" s="4" t="inlineStr">
        <is>
          <t>F</t>
        </is>
      </c>
      <c r="B160" s="4" t="n">
        <v>4</v>
      </c>
      <c r="C160" s="4" t="n">
        <v>0.01991726106038576</v>
      </c>
      <c r="D160" s="4" t="n">
        <v>0.07931820775219595</v>
      </c>
    </row>
    <row r="161">
      <c r="A161" s="4" t="inlineStr">
        <is>
          <t>F</t>
        </is>
      </c>
      <c r="B161" s="4" t="n">
        <v>5</v>
      </c>
      <c r="C161" s="4" t="n">
        <v>0.01874243244134855</v>
      </c>
      <c r="D161" s="4" t="n">
        <v>0.0980606401935445</v>
      </c>
    </row>
    <row r="162">
      <c r="A162" s="4" t="inlineStr">
        <is>
          <t>F</t>
        </is>
      </c>
      <c r="B162" s="4" t="n">
        <v>6</v>
      </c>
      <c r="C162" s="4" t="n">
        <v>0.01112617158811138</v>
      </c>
      <c r="D162" s="4" t="n">
        <v>0.1091868117816559</v>
      </c>
    </row>
    <row r="163">
      <c r="A163" s="4" t="inlineStr">
        <is>
          <t>F</t>
        </is>
      </c>
      <c r="B163" s="4" t="n">
        <v>7</v>
      </c>
      <c r="C163" s="4" t="n">
        <v>0.009701375132289627</v>
      </c>
      <c r="D163" s="4" t="n">
        <v>0.1188881869139455</v>
      </c>
    </row>
    <row r="164">
      <c r="A164" s="4" t="inlineStr">
        <is>
          <t>F</t>
        </is>
      </c>
      <c r="B164" s="4" t="n">
        <v>8</v>
      </c>
      <c r="C164" s="4" t="n">
        <v>0.008835847460937147</v>
      </c>
      <c r="D164" s="4" t="n">
        <v>0.1277240343748827</v>
      </c>
    </row>
    <row r="165">
      <c r="A165" s="4" t="inlineStr">
        <is>
          <t>F</t>
        </is>
      </c>
      <c r="B165" s="4" t="n">
        <v>9</v>
      </c>
      <c r="C165" s="4" t="n">
        <v>0.008047539579527998</v>
      </c>
      <c r="D165" s="4" t="n">
        <v>0.1357715739544107</v>
      </c>
    </row>
    <row r="166">
      <c r="A166" s="4" t="inlineStr">
        <is>
          <t>F</t>
        </is>
      </c>
      <c r="B166" s="4" t="n">
        <v>10</v>
      </c>
      <c r="C166" s="4" t="n">
        <v>0.007329562169376878</v>
      </c>
      <c r="D166" s="4" t="n">
        <v>0.1431011361237876</v>
      </c>
    </row>
    <row r="167">
      <c r="A167" s="4" t="inlineStr">
        <is>
          <t>F</t>
        </is>
      </c>
      <c r="B167" s="4" t="n">
        <v>11</v>
      </c>
      <c r="C167" s="4" t="n">
        <v>0.005022326226482405</v>
      </c>
      <c r="D167" s="4" t="n">
        <v>0.14812346235027</v>
      </c>
    </row>
    <row r="168">
      <c r="A168" s="4" t="inlineStr">
        <is>
          <t>F</t>
        </is>
      </c>
      <c r="B168" s="4" t="n">
        <v>12</v>
      </c>
      <c r="C168" s="4" t="n">
        <v>0.004702040910437776</v>
      </c>
      <c r="D168" s="4" t="n">
        <v>0.1528255032607077</v>
      </c>
    </row>
    <row r="169">
      <c r="A169" s="4" t="inlineStr">
        <is>
          <t>F</t>
        </is>
      </c>
      <c r="B169" s="4" t="n">
        <v>13</v>
      </c>
      <c r="C169" s="4" t="n">
        <v>0.004402180927007521</v>
      </c>
      <c r="D169" s="4" t="n">
        <v>0.1572276841877153</v>
      </c>
    </row>
    <row r="170">
      <c r="A170" s="4" t="inlineStr">
        <is>
          <t>F</t>
        </is>
      </c>
      <c r="B170" s="4" t="n">
        <v>14</v>
      </c>
      <c r="C170" s="4" t="n">
        <v>0.004121443705666213</v>
      </c>
      <c r="D170" s="4" t="n">
        <v>0.1613491278933815</v>
      </c>
    </row>
    <row r="171">
      <c r="A171" s="4" t="inlineStr">
        <is>
          <t>F</t>
        </is>
      </c>
      <c r="B171" s="4" t="n">
        <v>15</v>
      </c>
      <c r="C171" s="4" t="n">
        <v>0.003858609743812246</v>
      </c>
      <c r="D171" s="4" t="n">
        <v>0.1652077376371937</v>
      </c>
    </row>
    <row r="172">
      <c r="A172" s="4" t="inlineStr">
        <is>
          <t>F</t>
        </is>
      </c>
      <c r="B172" s="4" t="n">
        <v>16</v>
      </c>
      <c r="C172" s="4" t="n">
        <v>0.00361253730933493</v>
      </c>
      <c r="D172" s="4" t="n">
        <v>0.1688202749465287</v>
      </c>
    </row>
    <row r="173">
      <c r="A173" s="4" t="inlineStr">
        <is>
          <t>F</t>
        </is>
      </c>
      <c r="B173" s="4" t="n">
        <v>17</v>
      </c>
      <c r="C173" s="4" t="n">
        <v>0.003382157481011087</v>
      </c>
      <c r="D173" s="4" t="n">
        <v>0.1722024324275397</v>
      </c>
    </row>
    <row r="174">
      <c r="A174" s="4" t="inlineStr">
        <is>
          <t>F</t>
        </is>
      </c>
      <c r="B174" s="4" t="n">
        <v>18</v>
      </c>
      <c r="C174" s="4" t="n">
        <v>0.003166469505186974</v>
      </c>
      <c r="D174" s="4" t="n">
        <v>0.1753689019327267</v>
      </c>
    </row>
    <row r="175">
      <c r="A175" s="4" t="inlineStr">
        <is>
          <t>F</t>
        </is>
      </c>
      <c r="B175" s="4" t="n">
        <v>19</v>
      </c>
      <c r="C175" s="4" t="n">
        <v>0.002964536448575315</v>
      </c>
      <c r="D175" s="4" t="n">
        <v>0.178333438381302</v>
      </c>
    </row>
    <row r="176">
      <c r="A176" s="4" t="inlineStr">
        <is>
          <t>F</t>
        </is>
      </c>
      <c r="B176" s="4" t="n">
        <v>20</v>
      </c>
      <c r="C176" s="4" t="n">
        <v>0.002775481128283469</v>
      </c>
      <c r="D176" s="4" t="n">
        <v>0.1811089195095855</v>
      </c>
    </row>
    <row r="177">
      <c r="A177" s="4" t="inlineStr">
        <is>
          <t>F</t>
        </is>
      </c>
      <c r="B177" s="4" t="n">
        <v>21</v>
      </c>
      <c r="C177" s="4" t="n">
        <v>0.002598482301393088</v>
      </c>
      <c r="D177" s="4" t="n">
        <v>0.1837074018109786</v>
      </c>
    </row>
    <row r="178">
      <c r="A178" s="4" t="inlineStr">
        <is>
          <t>F</t>
        </is>
      </c>
      <c r="B178" s="4" t="n">
        <v>22</v>
      </c>
      <c r="C178" s="4" t="n">
        <v>0.002432771097539059</v>
      </c>
      <c r="D178" s="4" t="n">
        <v>0.1861401729085176</v>
      </c>
    </row>
    <row r="179">
      <c r="A179" s="4" t="inlineStr">
        <is>
          <t>F</t>
        </is>
      </c>
      <c r="B179" s="4" t="n">
        <v>23</v>
      </c>
      <c r="C179" s="4" t="n">
        <v>0.002277627678991102</v>
      </c>
      <c r="D179" s="4" t="n">
        <v>0.1884178005875087</v>
      </c>
    </row>
    <row r="180">
      <c r="A180" s="4" t="inlineStr">
        <is>
          <t>F</t>
        </is>
      </c>
      <c r="B180" s="4" t="n">
        <v>24</v>
      </c>
      <c r="C180" s="4" t="n">
        <v>0.002132378113729669</v>
      </c>
      <c r="D180" s="4" t="n">
        <v>0.1905501787012384</v>
      </c>
    </row>
    <row r="181">
      <c r="A181" s="4" t="inlineStr">
        <is>
          <t>F</t>
        </is>
      </c>
      <c r="B181" s="4" t="n">
        <v>25</v>
      </c>
      <c r="C181" s="4" t="n">
        <v>0.001996391447932989</v>
      </c>
      <c r="D181" s="4" t="n">
        <v>0.1925465701491714</v>
      </c>
    </row>
    <row r="182">
      <c r="A182" s="4" t="inlineStr">
        <is>
          <t>F</t>
        </is>
      </c>
      <c r="B182" s="4" t="n">
        <v>26</v>
      </c>
      <c r="C182" s="4" t="n">
        <v>0.001869076965158371</v>
      </c>
      <c r="D182" s="4" t="n">
        <v>0.1944156471143298</v>
      </c>
    </row>
    <row r="183">
      <c r="A183" s="4" t="inlineStr">
        <is>
          <t>F</t>
        </is>
      </c>
      <c r="B183" s="4" t="n">
        <v>27</v>
      </c>
      <c r="C183" s="4" t="n">
        <v>0.001749881620311811</v>
      </c>
      <c r="D183" s="4" t="n">
        <v>0.1961655287346416</v>
      </c>
    </row>
    <row r="184">
      <c r="A184" s="4" t="inlineStr">
        <is>
          <t>F</t>
        </is>
      </c>
      <c r="B184" s="4" t="n">
        <v>28</v>
      </c>
      <c r="C184" s="4" t="n">
        <v>0.0016382876372593</v>
      </c>
      <c r="D184" s="4" t="n">
        <v>0.1978038163719009</v>
      </c>
    </row>
    <row r="185">
      <c r="A185" s="4" t="inlineStr">
        <is>
          <t>F</t>
        </is>
      </c>
      <c r="B185" s="4" t="n">
        <v>29</v>
      </c>
      <c r="C185" s="4" t="n">
        <v>0.001533810259643965</v>
      </c>
      <c r="D185" s="4" t="n">
        <v>0.1993376266315448</v>
      </c>
    </row>
    <row r="186">
      <c r="A186" s="4" t="inlineStr">
        <is>
          <t>F</t>
        </is>
      </c>
      <c r="B186" s="4" t="n">
        <v>30</v>
      </c>
      <c r="C186" s="4" t="n">
        <v>0.001435995645138799</v>
      </c>
      <c r="D186" s="4" t="n">
        <v>0.2007736222766836</v>
      </c>
    </row>
    <row r="187">
      <c r="A187" s="4" t="inlineStr">
        <is>
          <t>G</t>
        </is>
      </c>
      <c r="B187" s="4" t="n">
        <v>1</v>
      </c>
      <c r="C187" s="4" t="n">
        <v>0.01545403243192311</v>
      </c>
      <c r="D187" s="4" t="n">
        <v>0.01545403243192311</v>
      </c>
    </row>
    <row r="188">
      <c r="A188" s="4" t="inlineStr">
        <is>
          <t>G</t>
        </is>
      </c>
      <c r="B188" s="4" t="n">
        <v>2</v>
      </c>
      <c r="C188" s="4" t="n">
        <v>0.03144619128815946</v>
      </c>
      <c r="D188" s="4" t="n">
        <v>0.04690022372008257</v>
      </c>
    </row>
    <row r="189">
      <c r="A189" s="4" t="inlineStr">
        <is>
          <t>G</t>
        </is>
      </c>
      <c r="B189" s="4" t="n">
        <v>3</v>
      </c>
      <c r="C189" s="4" t="n">
        <v>0.03625855402472956</v>
      </c>
      <c r="D189" s="4" t="n">
        <v>0.08315877774481213</v>
      </c>
    </row>
    <row r="190">
      <c r="A190" s="4" t="inlineStr">
        <is>
          <t>G</t>
        </is>
      </c>
      <c r="B190" s="4" t="n">
        <v>4</v>
      </c>
      <c r="C190" s="4" t="n">
        <v>0.02827878487664387</v>
      </c>
      <c r="D190" s="4" t="n">
        <v>0.111437562621456</v>
      </c>
    </row>
    <row r="191">
      <c r="A191" s="4" t="inlineStr">
        <is>
          <t>G</t>
        </is>
      </c>
      <c r="B191" s="4" t="n">
        <v>5</v>
      </c>
      <c r="C191" s="4" t="n">
        <v>0.02648467884044077</v>
      </c>
      <c r="D191" s="4" t="n">
        <v>0.1379222414618968</v>
      </c>
    </row>
    <row r="192">
      <c r="A192" s="4" t="inlineStr">
        <is>
          <t>G</t>
        </is>
      </c>
      <c r="B192" s="4" t="n">
        <v>6</v>
      </c>
      <c r="C192" s="4" t="n">
        <v>0.01579523451307751</v>
      </c>
      <c r="D192" s="4" t="n">
        <v>0.1537174759749743</v>
      </c>
    </row>
    <row r="193">
      <c r="A193" s="4" t="inlineStr">
        <is>
          <t>G</t>
        </is>
      </c>
      <c r="B193" s="4" t="n">
        <v>7</v>
      </c>
      <c r="C193" s="4" t="n">
        <v>0.01381370451511836</v>
      </c>
      <c r="D193" s="4" t="n">
        <v>0.1675311804900927</v>
      </c>
    </row>
    <row r="194">
      <c r="A194" s="4" t="inlineStr">
        <is>
          <t>G</t>
        </is>
      </c>
      <c r="B194" s="4" t="n">
        <v>8</v>
      </c>
      <c r="C194" s="4" t="n">
        <v>0.01259563754087352</v>
      </c>
      <c r="D194" s="4" t="n">
        <v>0.1801268180309662</v>
      </c>
    </row>
    <row r="195">
      <c r="A195" s="4" t="inlineStr">
        <is>
          <t>G</t>
        </is>
      </c>
      <c r="B195" s="4" t="n">
        <v>9</v>
      </c>
      <c r="C195" s="4" t="n">
        <v>0.0114849774647654</v>
      </c>
      <c r="D195" s="4" t="n">
        <v>0.1916117954957316</v>
      </c>
    </row>
    <row r="196">
      <c r="A196" s="4" t="inlineStr">
        <is>
          <t>G</t>
        </is>
      </c>
      <c r="B196" s="4" t="n">
        <v>10</v>
      </c>
      <c r="C196" s="4" t="n">
        <v>0.01047225334471011</v>
      </c>
      <c r="D196" s="4" t="n">
        <v>0.2020840488404417</v>
      </c>
    </row>
    <row r="197">
      <c r="A197" s="4" t="inlineStr">
        <is>
          <t>G</t>
        </is>
      </c>
      <c r="B197" s="4" t="n">
        <v>11</v>
      </c>
      <c r="C197" s="4" t="n">
        <v>0.007181123449285834</v>
      </c>
      <c r="D197" s="4" t="n">
        <v>0.2092651722897275</v>
      </c>
    </row>
    <row r="198">
      <c r="A198" s="4" t="inlineStr">
        <is>
          <t>G</t>
        </is>
      </c>
      <c r="B198" s="4" t="n">
        <v>12</v>
      </c>
      <c r="C198" s="4" t="n">
        <v>0.006725899688592774</v>
      </c>
      <c r="D198" s="4" t="n">
        <v>0.2159910719783203</v>
      </c>
    </row>
    <row r="199">
      <c r="A199" s="4" t="inlineStr">
        <is>
          <t>G</t>
        </is>
      </c>
      <c r="B199" s="4" t="n">
        <v>13</v>
      </c>
      <c r="C199" s="4" t="n">
        <v>0.006299533344676212</v>
      </c>
      <c r="D199" s="4" t="n">
        <v>0.2222906053229965</v>
      </c>
    </row>
    <row r="200">
      <c r="A200" s="4" t="inlineStr">
        <is>
          <t>G</t>
        </is>
      </c>
      <c r="B200" s="4" t="n">
        <v>14</v>
      </c>
      <c r="C200" s="4" t="n">
        <v>0.005900195096277205</v>
      </c>
      <c r="D200" s="4" t="n">
        <v>0.2281908004192737</v>
      </c>
    </row>
    <row r="201">
      <c r="A201" s="4" t="inlineStr">
        <is>
          <t>G</t>
        </is>
      </c>
      <c r="B201" s="4" t="n">
        <v>15</v>
      </c>
      <c r="C201" s="4" t="n">
        <v>0.005526171585956244</v>
      </c>
      <c r="D201" s="4" t="n">
        <v>0.23371697200523</v>
      </c>
    </row>
    <row r="202">
      <c r="A202" s="4" t="inlineStr">
        <is>
          <t>G</t>
        </is>
      </c>
      <c r="B202" s="4" t="n">
        <v>16</v>
      </c>
      <c r="C202" s="4" t="n">
        <v>0.005175858068947381</v>
      </c>
      <c r="D202" s="4" t="n">
        <v>0.2388928300741774</v>
      </c>
    </row>
    <row r="203">
      <c r="A203" s="4" t="inlineStr">
        <is>
          <t>G</t>
        </is>
      </c>
      <c r="B203" s="4" t="n">
        <v>17</v>
      </c>
      <c r="C203" s="4" t="n">
        <v>0.004847751528014143</v>
      </c>
      <c r="D203" s="4" t="n">
        <v>0.2437405816021915</v>
      </c>
    </row>
    <row r="204">
      <c r="A204" s="4" t="inlineStr">
        <is>
          <t>G</t>
        </is>
      </c>
      <c r="B204" s="4" t="n">
        <v>18</v>
      </c>
      <c r="C204" s="4" t="n">
        <v>0.004540444224766542</v>
      </c>
      <c r="D204" s="4" t="n">
        <v>0.248281025826958</v>
      </c>
    </row>
    <row r="205">
      <c r="A205" s="4" t="inlineStr">
        <is>
          <t>G</t>
        </is>
      </c>
      <c r="B205" s="4" t="n">
        <v>19</v>
      </c>
      <c r="C205" s="4" t="n">
        <v>0.00425261765977122</v>
      </c>
      <c r="D205" s="4" t="n">
        <v>0.2525336434867292</v>
      </c>
    </row>
    <row r="206">
      <c r="A206" s="4" t="inlineStr">
        <is>
          <t>G</t>
        </is>
      </c>
      <c r="B206" s="4" t="n">
        <v>20</v>
      </c>
      <c r="C206" s="4" t="n">
        <v>0.003983036915540552</v>
      </c>
      <c r="D206" s="4" t="n">
        <v>0.2565166804022698</v>
      </c>
    </row>
    <row r="207">
      <c r="A207" s="4" t="inlineStr">
        <is>
          <t>G</t>
        </is>
      </c>
      <c r="B207" s="4" t="n">
        <v>21</v>
      </c>
      <c r="C207" s="4" t="n">
        <v>0.003730545358129437</v>
      </c>
      <c r="D207" s="4" t="n">
        <v>0.2602472257603992</v>
      </c>
    </row>
    <row r="208">
      <c r="A208" s="4" t="inlineStr">
        <is>
          <t>G</t>
        </is>
      </c>
      <c r="B208" s="4" t="n">
        <v>22</v>
      </c>
      <c r="C208" s="4" t="n">
        <v>0.00349405967460695</v>
      </c>
      <c r="D208" s="4" t="n">
        <v>0.2637412854350062</v>
      </c>
    </row>
    <row r="209">
      <c r="A209" s="4" t="inlineStr">
        <is>
          <t>G</t>
        </is>
      </c>
      <c r="B209" s="4" t="n">
        <v>23</v>
      </c>
      <c r="C209" s="4" t="n">
        <v>0.003272565225111206</v>
      </c>
      <c r="D209" s="4" t="n">
        <v>0.2670138506601174</v>
      </c>
    </row>
    <row r="210">
      <c r="A210" s="4" t="inlineStr">
        <is>
          <t>G</t>
        </is>
      </c>
      <c r="B210" s="4" t="n">
        <v>24</v>
      </c>
      <c r="C210" s="4" t="n">
        <v>0.003065111689545456</v>
      </c>
      <c r="D210" s="4" t="n">
        <v>0.2700789623496628</v>
      </c>
    </row>
    <row r="211">
      <c r="A211" s="4" t="inlineStr">
        <is>
          <t>G</t>
        </is>
      </c>
      <c r="B211" s="4" t="n">
        <v>25</v>
      </c>
      <c r="C211" s="4" t="n">
        <v>0.002870808990237604</v>
      </c>
      <c r="D211" s="4" t="n">
        <v>0.2729497713399004</v>
      </c>
    </row>
    <row r="212">
      <c r="A212" s="4" t="inlineStr">
        <is>
          <t>G</t>
        </is>
      </c>
      <c r="B212" s="4" t="n">
        <v>26</v>
      </c>
      <c r="C212" s="4" t="n">
        <v>0.002688823473069344</v>
      </c>
      <c r="D212" s="4" t="n">
        <v>0.2756385948129698</v>
      </c>
    </row>
    <row r="213">
      <c r="A213" s="4" t="inlineStr">
        <is>
          <t>G</t>
        </is>
      </c>
      <c r="B213" s="4" t="n">
        <v>27</v>
      </c>
      <c r="C213" s="4" t="n">
        <v>0.00251837433069008</v>
      </c>
      <c r="D213" s="4" t="n">
        <v>0.2781569691436599</v>
      </c>
    </row>
    <row r="214">
      <c r="A214" s="4" t="inlineStr">
        <is>
          <t>G</t>
        </is>
      </c>
      <c r="B214" s="4" t="n">
        <v>28</v>
      </c>
      <c r="C214" s="4" t="n">
        <v>0.002358730252469474</v>
      </c>
      <c r="D214" s="4" t="n">
        <v>0.2805156993961294</v>
      </c>
    </row>
    <row r="215">
      <c r="A215" s="4" t="inlineStr">
        <is>
          <t>G</t>
        </is>
      </c>
      <c r="B215" s="4" t="n">
        <v>29</v>
      </c>
      <c r="C215" s="4" t="n">
        <v>0.002209206286815266</v>
      </c>
      <c r="D215" s="4" t="n">
        <v>0.2827249056829446</v>
      </c>
    </row>
    <row r="216">
      <c r="A216" s="4" t="inlineStr">
        <is>
          <t>G</t>
        </is>
      </c>
      <c r="B216" s="4" t="n">
        <v>30</v>
      </c>
      <c r="C216" s="4" t="n">
        <v>0.00206916090239414</v>
      </c>
      <c r="D216" s="4" t="n">
        <v>0.2847940665853387</v>
      </c>
    </row>
    <row r="218">
      <c r="A218" s="3" t="inlineStr">
        <is>
          <t>LGD by segment (economic, net of MI)</t>
        </is>
      </c>
    </row>
    <row r="219">
      <c r="A219" s="3" t="inlineStr">
        <is>
          <t>dimension</t>
        </is>
      </c>
      <c r="B219" s="3" t="inlineStr">
        <is>
          <t>segment</t>
        </is>
      </c>
      <c r="C219" s="3" t="inlineStr">
        <is>
          <t>lgd_economic</t>
        </is>
      </c>
      <c r="D219" s="3" t="inlineStr">
        <is>
          <t>n</t>
        </is>
      </c>
    </row>
    <row r="220">
      <c r="A220" s="4" t="inlineStr">
        <is>
          <t>overall</t>
        </is>
      </c>
      <c r="B220" s="4" t="inlineStr">
        <is>
          <t>all</t>
        </is>
      </c>
      <c r="C220" s="4" t="n">
        <v>0.2491064581775583</v>
      </c>
      <c r="D220" s="4" t="n">
        <v>35688</v>
      </c>
    </row>
    <row r="221">
      <c r="A221" s="4" t="inlineStr">
        <is>
          <t>ltv_band</t>
        </is>
      </c>
      <c r="B221" s="4" t="inlineStr">
        <is>
          <t>60_80</t>
        </is>
      </c>
      <c r="C221" s="4" t="n">
        <v>0.2889671840405931</v>
      </c>
      <c r="D221" s="4" t="n">
        <v>20017</v>
      </c>
    </row>
    <row r="222">
      <c r="A222" s="4" t="inlineStr">
        <is>
          <t>ltv_band</t>
        </is>
      </c>
      <c r="B222" s="4" t="inlineStr">
        <is>
          <t>80_90</t>
        </is>
      </c>
      <c r="C222" s="4" t="n">
        <v>0.2554293393153668</v>
      </c>
      <c r="D222" s="4" t="n">
        <v>5081</v>
      </c>
    </row>
    <row r="223">
      <c r="A223" s="4" t="inlineStr">
        <is>
          <t>ltv_band</t>
        </is>
      </c>
      <c r="B223" s="4" t="inlineStr">
        <is>
          <t>90_95</t>
        </is>
      </c>
      <c r="C223" s="4" t="n">
        <v>0.173961907462616</v>
      </c>
      <c r="D223" s="4" t="n">
        <v>3813</v>
      </c>
    </row>
    <row r="224">
      <c r="A224" s="4" t="inlineStr">
        <is>
          <t>ltv_band</t>
        </is>
      </c>
      <c r="B224" s="4" t="inlineStr">
        <is>
          <t>gt_95</t>
        </is>
      </c>
      <c r="C224" s="4" t="n">
        <v>0.2358938335903167</v>
      </c>
      <c r="D224" s="4" t="n">
        <v>2408</v>
      </c>
    </row>
    <row r="225">
      <c r="A225" s="4" t="inlineStr">
        <is>
          <t>ltv_band</t>
        </is>
      </c>
      <c r="B225" s="4" t="inlineStr">
        <is>
          <t>le_60</t>
        </is>
      </c>
      <c r="C225" s="4" t="n">
        <v>0.1319912059964143</v>
      </c>
      <c r="D225" s="4" t="n">
        <v>4369</v>
      </c>
    </row>
    <row r="227">
      <c r="A227" s="3" t="inlineStr">
        <is>
          <t>Discount rate</t>
        </is>
      </c>
    </row>
    <row r="228">
      <c r="A228" t="inlineStr">
        <is>
          <t>Portfolio weighted-average note rate (real, aggregate)</t>
        </is>
      </c>
      <c r="B228" s="5" t="n">
        <v>0.05149967204492088</v>
      </c>
      <c r="C228" s="2" t="inlineStr">
        <is>
          <t>n = 1,349,995 loans, weighted by original UPB</t>
        </is>
      </c>
    </row>
    <row r="229">
      <c r="A229" s="2" t="inlineStr">
        <is>
          <t>The published ECL discounts each loan at its own note rate (CONTRACTS.md: discount_factor = (1+note_rate_pct/1200)^-months_to_resolution). The portfolio average above is used only in this workbook's illustrative sensitivity table, not in the reconciled ECL totals on the ECL sheet.</t>
        </is>
      </c>
    </row>
    <row r="231">
      <c r="A231" s="3" t="inlineStr">
        <is>
          <t>IFRS 9 stage rules</t>
        </is>
      </c>
    </row>
    <row r="232">
      <c r="A232" t="inlineStr">
        <is>
          <t>Stage 1: performing</t>
        </is>
      </c>
    </row>
    <row r="233">
      <c r="A233" t="inlineStr">
        <is>
          <t>Stage 2: 30+ days past due, or PD deterioration ratio &gt;=</t>
        </is>
      </c>
      <c r="B233" s="4" t="n">
        <v>2</v>
      </c>
      <c r="C233" t="inlineStr">
        <is>
          <t>or absolute PD increase &gt;=</t>
        </is>
      </c>
      <c r="D233" s="6" t="n">
        <v>0.002</v>
      </c>
    </row>
    <row r="234">
      <c r="A234" t="inlineStr">
        <is>
          <t>Stage 3: defaulted</t>
        </is>
      </c>
    </row>
    <row r="236">
      <c r="A236" s="3" t="inlineStr">
        <is>
          <t>Scenario weights</t>
        </is>
      </c>
    </row>
    <row r="237">
      <c r="A237" s="2" t="inlineStr">
        <is>
          <t>Source: FHFA HPI, national (USA), purchase-only, monthly, seasonally adjusted (hpi_master.csv)</t>
        </is>
      </c>
    </row>
    <row r="238">
      <c r="A238" s="3" t="inlineStr">
        <is>
          <t>scenario</t>
        </is>
      </c>
      <c r="B238" s="3" t="inlineStr">
        <is>
          <t>weight</t>
        </is>
      </c>
    </row>
    <row r="239">
      <c r="A239" s="4" t="inlineStr">
        <is>
          <t>base</t>
        </is>
      </c>
      <c r="B239" s="7" t="n">
        <v>0.6</v>
      </c>
    </row>
    <row r="240">
      <c r="A240" s="4" t="inlineStr">
        <is>
          <t>adverse</t>
        </is>
      </c>
      <c r="B240" s="7" t="n">
        <v>0.25</v>
      </c>
    </row>
    <row r="241">
      <c r="A241" s="4" t="inlineStr">
        <is>
          <t>upside</t>
        </is>
      </c>
      <c r="B241" s="7" t="n">
        <v>0.15</v>
      </c>
    </row>
  </sheetData>
  <mergeCells count="4">
    <mergeCell ref="A229:H229"/>
    <mergeCell ref="A237:F237"/>
    <mergeCell ref="A3:H3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Scorecard -- points table and one worked example</t>
        </is>
      </c>
    </row>
    <row r="2">
      <c r="A2" s="2" t="inlineStr">
        <is>
          <t>12-month PD, 1999-2015 development average. Base score 600, base odds 50.0:1, PDO 20. Lookup uses INDEX/MATCH (not XLOOKUP), for compatibility with older Excel.</t>
        </is>
      </c>
    </row>
    <row r="4">
      <c r="A4" s="3" t="inlineStr">
        <is>
          <t>Points table</t>
        </is>
      </c>
    </row>
    <row r="5">
      <c r="A5" s="3" t="inlineStr">
        <is>
          <t>feature</t>
        </is>
      </c>
      <c r="B5" s="3" t="inlineStr">
        <is>
          <t>bin</t>
        </is>
      </c>
      <c r="C5" s="3" t="inlineStr">
        <is>
          <t>lower</t>
        </is>
      </c>
      <c r="D5" s="3" t="inlineStr">
        <is>
          <t>match_key</t>
        </is>
      </c>
      <c r="E5" s="3" t="inlineStr">
        <is>
          <t>points</t>
        </is>
      </c>
    </row>
    <row r="6">
      <c r="A6" s="4" t="inlineStr">
        <is>
          <t>fico</t>
        </is>
      </c>
      <c r="B6" s="4" t="inlineStr">
        <is>
          <t>[-inf, 654.5)</t>
        </is>
      </c>
      <c r="C6" s="4" t="n">
        <v>-1000000000000000</v>
      </c>
      <c r="D6" s="4" t="inlineStr"/>
      <c r="E6" s="4" t="n">
        <v>57</v>
      </c>
    </row>
    <row r="7">
      <c r="A7" s="4" t="inlineStr">
        <is>
          <t>fico</t>
        </is>
      </c>
      <c r="B7" s="4" t="inlineStr">
        <is>
          <t>[654.5, 680.5)</t>
        </is>
      </c>
      <c r="C7" s="4" t="n">
        <v>654.5</v>
      </c>
      <c r="D7" s="4" t="inlineStr"/>
      <c r="E7" s="4" t="n">
        <v>75</v>
      </c>
    </row>
    <row r="8">
      <c r="A8" s="4" t="inlineStr">
        <is>
          <t>fico</t>
        </is>
      </c>
      <c r="B8" s="4" t="inlineStr">
        <is>
          <t>[680.5, 699.5)</t>
        </is>
      </c>
      <c r="C8" s="4" t="n">
        <v>680.5</v>
      </c>
      <c r="D8" s="4" t="inlineStr"/>
      <c r="E8" s="4" t="n">
        <v>85</v>
      </c>
    </row>
    <row r="9">
      <c r="A9" s="4" t="inlineStr">
        <is>
          <t>fico</t>
        </is>
      </c>
      <c r="B9" s="4" t="inlineStr">
        <is>
          <t>[699.5, 715.5)</t>
        </is>
      </c>
      <c r="C9" s="4" t="n">
        <v>699.5</v>
      </c>
      <c r="D9" s="4" t="inlineStr"/>
      <c r="E9" s="4" t="n">
        <v>94</v>
      </c>
    </row>
    <row r="10">
      <c r="A10" s="4" t="inlineStr">
        <is>
          <t>fico</t>
        </is>
      </c>
      <c r="B10" s="4" t="inlineStr">
        <is>
          <t>[715.5, 728.5)</t>
        </is>
      </c>
      <c r="C10" s="4" t="n">
        <v>715.5</v>
      </c>
      <c r="D10" s="4" t="inlineStr"/>
      <c r="E10" s="4" t="n">
        <v>101</v>
      </c>
    </row>
    <row r="11">
      <c r="A11" s="4" t="inlineStr">
        <is>
          <t>fico</t>
        </is>
      </c>
      <c r="B11" s="4" t="inlineStr">
        <is>
          <t>[728.5, 754.5)</t>
        </is>
      </c>
      <c r="C11" s="4" t="n">
        <v>728.5</v>
      </c>
      <c r="D11" s="4" t="inlineStr"/>
      <c r="E11" s="4" t="n">
        <v>109</v>
      </c>
    </row>
    <row r="12">
      <c r="A12" s="4" t="inlineStr">
        <is>
          <t>fico</t>
        </is>
      </c>
      <c r="B12" s="4" t="inlineStr">
        <is>
          <t>[754.5, 783.5)</t>
        </is>
      </c>
      <c r="C12" s="4" t="n">
        <v>754.5</v>
      </c>
      <c r="D12" s="4" t="inlineStr"/>
      <c r="E12" s="4" t="n">
        <v>121</v>
      </c>
    </row>
    <row r="13">
      <c r="A13" s="4" t="inlineStr">
        <is>
          <t>fico</t>
        </is>
      </c>
      <c r="B13" s="4" t="inlineStr">
        <is>
          <t>[783.5, inf)</t>
        </is>
      </c>
      <c r="C13" s="4" t="n">
        <v>783.5</v>
      </c>
      <c r="D13" s="4" t="inlineStr"/>
      <c r="E13" s="4" t="n">
        <v>135</v>
      </c>
    </row>
    <row r="14">
      <c r="A14" s="4" t="inlineStr">
        <is>
          <t>ltv_pct</t>
        </is>
      </c>
      <c r="B14" s="4" t="inlineStr">
        <is>
          <t>[-inf, 36.5)</t>
        </is>
      </c>
      <c r="C14" s="4" t="n">
        <v>-1000000000000000</v>
      </c>
      <c r="D14" s="4" t="inlineStr"/>
      <c r="E14" s="4" t="n">
        <v>112</v>
      </c>
    </row>
    <row r="15">
      <c r="A15" s="4" t="inlineStr">
        <is>
          <t>ltv_pct</t>
        </is>
      </c>
      <c r="B15" s="4" t="inlineStr">
        <is>
          <t>[36.5, 54.5)</t>
        </is>
      </c>
      <c r="C15" s="4" t="n">
        <v>36.5</v>
      </c>
      <c r="D15" s="4" t="inlineStr"/>
      <c r="E15" s="4" t="n">
        <v>108</v>
      </c>
    </row>
    <row r="16">
      <c r="A16" s="4" t="inlineStr">
        <is>
          <t>ltv_pct</t>
        </is>
      </c>
      <c r="B16" s="4" t="inlineStr">
        <is>
          <t>[54.5, 59.5)</t>
        </is>
      </c>
      <c r="C16" s="4" t="n">
        <v>54.5</v>
      </c>
      <c r="D16" s="4" t="inlineStr"/>
      <c r="E16" s="4" t="n">
        <v>102</v>
      </c>
    </row>
    <row r="17">
      <c r="A17" s="4" t="inlineStr">
        <is>
          <t>ltv_pct</t>
        </is>
      </c>
      <c r="B17" s="4" t="inlineStr">
        <is>
          <t>[59.5, 69.5)</t>
        </is>
      </c>
      <c r="C17" s="4" t="n">
        <v>59.5</v>
      </c>
      <c r="D17" s="4" t="inlineStr"/>
      <c r="E17" s="4" t="n">
        <v>98</v>
      </c>
    </row>
    <row r="18">
      <c r="A18" s="4" t="inlineStr">
        <is>
          <t>ltv_pct</t>
        </is>
      </c>
      <c r="B18" s="4" t="inlineStr">
        <is>
          <t>[69.5, 79.5)</t>
        </is>
      </c>
      <c r="C18" s="4" t="n">
        <v>69.5</v>
      </c>
      <c r="D18" s="4" t="inlineStr"/>
      <c r="E18" s="4" t="n">
        <v>95</v>
      </c>
    </row>
    <row r="19">
      <c r="A19" s="4" t="inlineStr">
        <is>
          <t>ltv_pct</t>
        </is>
      </c>
      <c r="B19" s="4" t="inlineStr">
        <is>
          <t>[79.5, 81.5)</t>
        </is>
      </c>
      <c r="C19" s="4" t="n">
        <v>79.5</v>
      </c>
      <c r="D19" s="4" t="inlineStr"/>
      <c r="E19" s="4" t="n">
        <v>93</v>
      </c>
    </row>
    <row r="20">
      <c r="A20" s="4" t="inlineStr">
        <is>
          <t>ltv_pct</t>
        </is>
      </c>
      <c r="B20" s="4" t="inlineStr">
        <is>
          <t>[81.5, 94.5)</t>
        </is>
      </c>
      <c r="C20" s="4" t="n">
        <v>81.5</v>
      </c>
      <c r="D20" s="4" t="inlineStr"/>
      <c r="E20" s="4" t="n">
        <v>81</v>
      </c>
    </row>
    <row r="21">
      <c r="A21" s="4" t="inlineStr">
        <is>
          <t>ltv_pct</t>
        </is>
      </c>
      <c r="B21" s="4" t="inlineStr">
        <is>
          <t>[94.5, inf)</t>
        </is>
      </c>
      <c r="C21" s="4" t="n">
        <v>94.5</v>
      </c>
      <c r="D21" s="4" t="inlineStr"/>
      <c r="E21" s="4" t="n">
        <v>77</v>
      </c>
    </row>
    <row r="22">
      <c r="A22" s="4" t="inlineStr">
        <is>
          <t>dti_pct</t>
        </is>
      </c>
      <c r="B22" s="4" t="inlineStr">
        <is>
          <t>[-inf, 24.5)</t>
        </is>
      </c>
      <c r="C22" s="4" t="n">
        <v>-1000000000000000</v>
      </c>
      <c r="D22" s="4" t="inlineStr"/>
      <c r="E22" s="4" t="n">
        <v>108</v>
      </c>
    </row>
    <row r="23">
      <c r="A23" s="4" t="inlineStr">
        <is>
          <t>dti_pct</t>
        </is>
      </c>
      <c r="B23" s="4" t="inlineStr">
        <is>
          <t>[24.5, 27.5)</t>
        </is>
      </c>
      <c r="C23" s="4" t="n">
        <v>24.5</v>
      </c>
      <c r="D23" s="4" t="inlineStr"/>
      <c r="E23" s="4" t="n">
        <v>101</v>
      </c>
    </row>
    <row r="24">
      <c r="A24" s="4" t="inlineStr">
        <is>
          <t>dti_pct</t>
        </is>
      </c>
      <c r="B24" s="4" t="inlineStr">
        <is>
          <t>[27.5, 30.5)</t>
        </is>
      </c>
      <c r="C24" s="4" t="n">
        <v>27.5</v>
      </c>
      <c r="D24" s="4" t="inlineStr"/>
      <c r="E24" s="4" t="n">
        <v>99</v>
      </c>
    </row>
    <row r="25">
      <c r="A25" s="4" t="inlineStr">
        <is>
          <t>dti_pct</t>
        </is>
      </c>
      <c r="B25" s="4" t="inlineStr">
        <is>
          <t>[30.5, 37.5)</t>
        </is>
      </c>
      <c r="C25" s="4" t="n">
        <v>30.5</v>
      </c>
      <c r="D25" s="4" t="inlineStr"/>
      <c r="E25" s="4" t="n">
        <v>95</v>
      </c>
    </row>
    <row r="26">
      <c r="A26" s="4" t="inlineStr">
        <is>
          <t>dti_pct</t>
        </is>
      </c>
      <c r="B26" s="4" t="inlineStr">
        <is>
          <t>[37.5, 40.5)</t>
        </is>
      </c>
      <c r="C26" s="4" t="n">
        <v>37.5</v>
      </c>
      <c r="D26" s="4" t="inlineStr"/>
      <c r="E26" s="4" t="n">
        <v>91</v>
      </c>
    </row>
    <row r="27">
      <c r="A27" s="4" t="inlineStr">
        <is>
          <t>dti_pct</t>
        </is>
      </c>
      <c r="B27" s="4" t="inlineStr">
        <is>
          <t>[40.5, 45.5)</t>
        </is>
      </c>
      <c r="C27" s="4" t="n">
        <v>40.5</v>
      </c>
      <c r="D27" s="4" t="inlineStr"/>
      <c r="E27" s="4" t="n">
        <v>89</v>
      </c>
    </row>
    <row r="28">
      <c r="A28" s="4" t="inlineStr">
        <is>
          <t>dti_pct</t>
        </is>
      </c>
      <c r="B28" s="4" t="inlineStr">
        <is>
          <t>[45.5, 51.5)</t>
        </is>
      </c>
      <c r="C28" s="4" t="n">
        <v>45.5</v>
      </c>
      <c r="D28" s="4" t="inlineStr"/>
      <c r="E28" s="4" t="n">
        <v>81</v>
      </c>
    </row>
    <row r="29">
      <c r="A29" s="4" t="inlineStr">
        <is>
          <t>dti_pct</t>
        </is>
      </c>
      <c r="B29" s="4" t="inlineStr">
        <is>
          <t>[51.5, inf)</t>
        </is>
      </c>
      <c r="C29" s="4" t="n">
        <v>51.5</v>
      </c>
      <c r="D29" s="4" t="inlineStr"/>
      <c r="E29" s="4" t="n">
        <v>73</v>
      </c>
    </row>
    <row r="30">
      <c r="A30" s="4" t="inlineStr">
        <is>
          <t>rate_spread_pct</t>
        </is>
      </c>
      <c r="B30" s="4" t="inlineStr">
        <is>
          <t>[-inf, -0.3355)</t>
        </is>
      </c>
      <c r="C30" s="4" t="n">
        <v>-1000000000000000</v>
      </c>
      <c r="D30" s="4" t="inlineStr"/>
      <c r="E30" s="4" t="n">
        <v>109</v>
      </c>
    </row>
    <row r="31">
      <c r="A31" s="4" t="inlineStr">
        <is>
          <t>rate_spread_pct</t>
        </is>
      </c>
      <c r="B31" s="4" t="inlineStr">
        <is>
          <t>[-0.3355, -0.1945)</t>
        </is>
      </c>
      <c r="C31" s="4" t="n">
        <v>-0.3355</v>
      </c>
      <c r="D31" s="4" t="inlineStr"/>
      <c r="E31" s="4" t="n">
        <v>107</v>
      </c>
    </row>
    <row r="32">
      <c r="A32" s="4" t="inlineStr">
        <is>
          <t>rate_spread_pct</t>
        </is>
      </c>
      <c r="B32" s="4" t="inlineStr">
        <is>
          <t>[-0.1945, -0.0695)</t>
        </is>
      </c>
      <c r="C32" s="4" t="n">
        <v>-0.1945</v>
      </c>
      <c r="D32" s="4" t="inlineStr"/>
      <c r="E32" s="4" t="n">
        <v>106</v>
      </c>
    </row>
    <row r="33">
      <c r="A33" s="4" t="inlineStr">
        <is>
          <t>rate_spread_pct</t>
        </is>
      </c>
      <c r="B33" s="4" t="inlineStr">
        <is>
          <t>[-0.0695, 0.0545)</t>
        </is>
      </c>
      <c r="C33" s="4" t="n">
        <v>-0.06950000000000001</v>
      </c>
      <c r="D33" s="4" t="inlineStr"/>
      <c r="E33" s="4" t="n">
        <v>103</v>
      </c>
    </row>
    <row r="34">
      <c r="A34" s="4" t="inlineStr">
        <is>
          <t>rate_spread_pct</t>
        </is>
      </c>
      <c r="B34" s="4" t="inlineStr">
        <is>
          <t>[0.0545, 0.1805)</t>
        </is>
      </c>
      <c r="C34" s="4" t="n">
        <v>0.0545</v>
      </c>
      <c r="D34" s="4" t="inlineStr"/>
      <c r="E34" s="4" t="n">
        <v>98</v>
      </c>
    </row>
    <row r="35">
      <c r="A35" s="4" t="inlineStr">
        <is>
          <t>rate_spread_pct</t>
        </is>
      </c>
      <c r="B35" s="4" t="inlineStr">
        <is>
          <t>[0.1805, 0.3055)</t>
        </is>
      </c>
      <c r="C35" s="4" t="n">
        <v>0.1805</v>
      </c>
      <c r="D35" s="4" t="inlineStr"/>
      <c r="E35" s="4" t="n">
        <v>90</v>
      </c>
    </row>
    <row r="36">
      <c r="A36" s="4" t="inlineStr">
        <is>
          <t>rate_spread_pct</t>
        </is>
      </c>
      <c r="B36" s="4" t="inlineStr">
        <is>
          <t>[0.3055, 0.6245)</t>
        </is>
      </c>
      <c r="C36" s="4" t="n">
        <v>0.3055</v>
      </c>
      <c r="D36" s="4" t="inlineStr"/>
      <c r="E36" s="4" t="n">
        <v>79</v>
      </c>
    </row>
    <row r="37">
      <c r="A37" s="4" t="inlineStr">
        <is>
          <t>rate_spread_pct</t>
        </is>
      </c>
      <c r="B37" s="4" t="inlineStr">
        <is>
          <t>[0.6245, inf)</t>
        </is>
      </c>
      <c r="C37" s="4" t="n">
        <v>0.6245000000000001</v>
      </c>
      <c r="D37" s="4" t="inlineStr"/>
      <c r="E37" s="4" t="n">
        <v>61</v>
      </c>
    </row>
    <row r="38">
      <c r="A38" s="4" t="inlineStr">
        <is>
          <t>channel</t>
        </is>
      </c>
      <c r="B38" s="4" t="inlineStr">
        <is>
          <t>[C]</t>
        </is>
      </c>
      <c r="C38" s="4" t="inlineStr"/>
      <c r="D38" s="4" t="inlineStr">
        <is>
          <t>C</t>
        </is>
      </c>
      <c r="E38" s="4" t="n">
        <v>101</v>
      </c>
    </row>
    <row r="39">
      <c r="A39" s="4" t="inlineStr">
        <is>
          <t>channel</t>
        </is>
      </c>
      <c r="B39" s="4" t="inlineStr">
        <is>
          <t>[R]</t>
        </is>
      </c>
      <c r="C39" s="4" t="inlineStr"/>
      <c r="D39" s="4" t="inlineStr">
        <is>
          <t>R</t>
        </is>
      </c>
      <c r="E39" s="4" t="n">
        <v>100</v>
      </c>
    </row>
    <row r="40">
      <c r="A40" s="4" t="inlineStr">
        <is>
          <t>channel</t>
        </is>
      </c>
      <c r="B40" s="4" t="inlineStr">
        <is>
          <t>[T]</t>
        </is>
      </c>
      <c r="C40" s="4" t="inlineStr"/>
      <c r="D40" s="4" t="inlineStr">
        <is>
          <t>T</t>
        </is>
      </c>
      <c r="E40" s="4" t="n">
        <v>84</v>
      </c>
    </row>
    <row r="41">
      <c r="A41" s="4" t="inlineStr">
        <is>
          <t>channel</t>
        </is>
      </c>
      <c r="B41" s="4" t="inlineStr">
        <is>
          <t>[B]</t>
        </is>
      </c>
      <c r="C41" s="4" t="inlineStr"/>
      <c r="D41" s="4" t="inlineStr">
        <is>
          <t>B</t>
        </is>
      </c>
      <c r="E41" s="4" t="n">
        <v>87</v>
      </c>
    </row>
    <row r="42">
      <c r="A42" s="4" t="inlineStr">
        <is>
          <t>property_type</t>
        </is>
      </c>
      <c r="B42" s="4" t="inlineStr">
        <is>
          <t>[PU]</t>
        </is>
      </c>
      <c r="C42" s="4" t="inlineStr"/>
      <c r="D42" s="4" t="inlineStr">
        <is>
          <t>PU</t>
        </is>
      </c>
      <c r="E42" s="4" t="n">
        <v>99</v>
      </c>
    </row>
    <row r="43">
      <c r="A43" s="4" t="inlineStr">
        <is>
          <t>property_type</t>
        </is>
      </c>
      <c r="B43" s="4" t="inlineStr">
        <is>
          <t>[CO]</t>
        </is>
      </c>
      <c r="C43" s="4" t="inlineStr"/>
      <c r="D43" s="4" t="inlineStr">
        <is>
          <t>CO</t>
        </is>
      </c>
      <c r="E43" s="4" t="n">
        <v>92</v>
      </c>
    </row>
    <row r="44">
      <c r="A44" s="4" t="inlineStr">
        <is>
          <t>property_type</t>
        </is>
      </c>
      <c r="B44" s="4" t="inlineStr">
        <is>
          <t>[SF]</t>
        </is>
      </c>
      <c r="C44" s="4" t="inlineStr"/>
      <c r="D44" s="4" t="inlineStr">
        <is>
          <t>SF</t>
        </is>
      </c>
      <c r="E44" s="4" t="n">
        <v>92</v>
      </c>
    </row>
    <row r="45">
      <c r="A45" s="4" t="inlineStr">
        <is>
          <t>property_type</t>
        </is>
      </c>
      <c r="B45" s="4" t="inlineStr">
        <is>
          <t>[MH, CP]</t>
        </is>
      </c>
      <c r="C45" s="4" t="inlineStr"/>
      <c r="D45" s="4" t="inlineStr">
        <is>
          <t>MH</t>
        </is>
      </c>
      <c r="E45" s="4" t="n">
        <v>90</v>
      </c>
    </row>
    <row r="46">
      <c r="A46" s="4" t="inlineStr">
        <is>
          <t>term_band</t>
        </is>
      </c>
      <c r="B46" s="4" t="inlineStr">
        <is>
          <t>[le_180]</t>
        </is>
      </c>
      <c r="C46" s="4" t="inlineStr"/>
      <c r="D46" s="4" t="inlineStr">
        <is>
          <t>le_180</t>
        </is>
      </c>
      <c r="E46" s="4" t="n">
        <v>110</v>
      </c>
    </row>
    <row r="47">
      <c r="A47" s="4" t="inlineStr">
        <is>
          <t>term_band</t>
        </is>
      </c>
      <c r="B47" s="4" t="inlineStr">
        <is>
          <t>[181_240]</t>
        </is>
      </c>
      <c r="C47" s="4" t="inlineStr"/>
      <c r="D47" s="4" t="inlineStr">
        <is>
          <t>181_240</t>
        </is>
      </c>
      <c r="E47" s="4" t="n">
        <v>102</v>
      </c>
    </row>
    <row r="48">
      <c r="A48" s="4" t="inlineStr">
        <is>
          <t>term_band</t>
        </is>
      </c>
      <c r="B48" s="4" t="inlineStr">
        <is>
          <t>[gt_240]</t>
        </is>
      </c>
      <c r="C48" s="4" t="inlineStr"/>
      <c r="D48" s="4" t="inlineStr">
        <is>
          <t>gt_240</t>
        </is>
      </c>
      <c r="E48" s="4" t="n">
        <v>89</v>
      </c>
    </row>
    <row r="50">
      <c r="A50" s="3" t="inlineStr">
        <is>
          <t>Grades (ascending score)</t>
        </is>
      </c>
    </row>
    <row r="51">
      <c r="A51" s="3" t="inlineStr">
        <is>
          <t>grade</t>
        </is>
      </c>
      <c r="B51" s="3" t="inlineStr">
        <is>
          <t>score_min</t>
        </is>
      </c>
      <c r="C51" s="3" t="inlineStr">
        <is>
          <t>pd_low</t>
        </is>
      </c>
      <c r="D51" s="3" t="inlineStr">
        <is>
          <t>pd_high</t>
        </is>
      </c>
    </row>
    <row r="52">
      <c r="A52" s="4" t="inlineStr">
        <is>
          <t>F</t>
        </is>
      </c>
      <c r="B52" s="4" t="n">
        <v>586</v>
      </c>
      <c r="C52" s="4" t="n">
        <v>0.016</v>
      </c>
      <c r="D52" s="4" t="n">
        <v>0.032</v>
      </c>
    </row>
    <row r="53">
      <c r="A53" s="4" t="inlineStr">
        <is>
          <t>E</t>
        </is>
      </c>
      <c r="B53" s="4" t="n">
        <v>606</v>
      </c>
      <c r="C53" s="4" t="n">
        <v>0.008</v>
      </c>
      <c r="D53" s="4" t="n">
        <v>0.016</v>
      </c>
    </row>
    <row r="54">
      <c r="A54" s="4" t="inlineStr">
        <is>
          <t>D</t>
        </is>
      </c>
      <c r="B54" s="4" t="n">
        <v>627</v>
      </c>
      <c r="C54" s="4" t="n">
        <v>0.004</v>
      </c>
      <c r="D54" s="4" t="n">
        <v>0.008</v>
      </c>
    </row>
    <row r="55">
      <c r="A55" s="4" t="inlineStr">
        <is>
          <t>C</t>
        </is>
      </c>
      <c r="B55" s="4" t="n">
        <v>647</v>
      </c>
      <c r="C55" s="4" t="n">
        <v>0.002</v>
      </c>
      <c r="D55" s="4" t="n">
        <v>0.004</v>
      </c>
    </row>
    <row r="56">
      <c r="A56" s="4" t="inlineStr">
        <is>
          <t>B</t>
        </is>
      </c>
      <c r="B56" s="4" t="n">
        <v>667</v>
      </c>
      <c r="C56" s="4" t="n">
        <v>0.001</v>
      </c>
      <c r="D56" s="4" t="n">
        <v>0.002</v>
      </c>
    </row>
    <row r="57">
      <c r="A57" s="4" t="inlineStr">
        <is>
          <t>A</t>
        </is>
      </c>
      <c r="B57" s="4" t="n">
        <v>687</v>
      </c>
      <c r="C57" s="4" t="n">
        <v>0</v>
      </c>
      <c r="D57" s="4" t="n">
        <v>0.001</v>
      </c>
    </row>
    <row r="58">
      <c r="A58" s="4" t="inlineStr">
        <is>
          <t>G</t>
        </is>
      </c>
      <c r="B58" s="4" t="n">
        <v>-1000000000000000</v>
      </c>
      <c r="C58" s="4" t="n">
        <v>0.032</v>
      </c>
      <c r="D58" s="4" t="n">
        <v>1</v>
      </c>
    </row>
    <row r="60">
      <c r="A60" s="3" t="inlineStr">
        <is>
          <t>Example loan</t>
        </is>
      </c>
    </row>
    <row r="61">
      <c r="A61" t="inlineStr">
        <is>
          <t>fico</t>
        </is>
      </c>
      <c r="B61" s="4" t="n">
        <v>705</v>
      </c>
      <c r="C61" s="8">
        <f>INDEX(Scorecard!$E$6:$E$13,MATCH(B61,Scorecard!$C$6:$C$13,1))</f>
        <v/>
      </c>
    </row>
    <row r="62">
      <c r="A62" t="inlineStr">
        <is>
          <t>ltv_pct</t>
        </is>
      </c>
      <c r="B62" s="4" t="n">
        <v>82</v>
      </c>
      <c r="C62" s="8">
        <f>INDEX(Scorecard!$E$14:$E$21,MATCH(B62,Scorecard!$C$14:$C$21,1))</f>
        <v/>
      </c>
    </row>
    <row r="63">
      <c r="A63" t="inlineStr">
        <is>
          <t>dti_pct</t>
        </is>
      </c>
      <c r="B63" s="4" t="n">
        <v>33</v>
      </c>
      <c r="C63" s="8">
        <f>INDEX(Scorecard!$E$22:$E$29,MATCH(B63,Scorecard!$C$22:$C$29,1))</f>
        <v/>
      </c>
    </row>
    <row r="64">
      <c r="A64" t="inlineStr">
        <is>
          <t>rate_spread_pct</t>
        </is>
      </c>
      <c r="B64" s="4" t="n">
        <v>0.15</v>
      </c>
      <c r="C64" s="8">
        <f>INDEX(Scorecard!$E$30:$E$37,MATCH(B64,Scorecard!$C$30:$C$37,1))</f>
        <v/>
      </c>
    </row>
    <row r="65">
      <c r="A65" t="inlineStr">
        <is>
          <t>channel</t>
        </is>
      </c>
      <c r="B65" s="4" t="inlineStr">
        <is>
          <t>R</t>
        </is>
      </c>
      <c r="C65" s="8">
        <f>INDEX(Scorecard!$E$38:$E$41,MATCH(B65,Scorecard!$D$38:$D$41,0))</f>
        <v/>
      </c>
    </row>
    <row r="66">
      <c r="A66" t="inlineStr">
        <is>
          <t>property_type</t>
        </is>
      </c>
      <c r="B66" s="4" t="inlineStr">
        <is>
          <t>SF</t>
        </is>
      </c>
      <c r="C66" s="8">
        <f>INDEX(Scorecard!$E$42:$E$45,MATCH(B66,Scorecard!$D$42:$D$45,0))</f>
        <v/>
      </c>
    </row>
    <row r="67">
      <c r="A67" t="inlineStr">
        <is>
          <t>term_band</t>
        </is>
      </c>
      <c r="B67" s="4" t="inlineStr">
        <is>
          <t>181_240</t>
        </is>
      </c>
      <c r="C67" s="8">
        <f>INDEX(Scorecard!$E$46:$E$48,MATCH(B67,Scorecard!$D$46:$D$48,0))</f>
        <v/>
      </c>
    </row>
    <row r="68">
      <c r="A68" t="inlineStr">
        <is>
          <t>Total score</t>
        </is>
      </c>
      <c r="C68" s="9">
        <f>SUM(C61,C62,C63,C64,C65,C66,C67)</f>
        <v/>
      </c>
    </row>
    <row r="69">
      <c r="A69" t="inlineStr">
        <is>
          <t>Grade</t>
        </is>
      </c>
      <c r="C69" s="9">
        <f>INDEX(GRADE_LETTER,MATCH(C68,GRADE_SCORE_MIN,1))</f>
        <v/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ECL by grade x stage -- reporting date 2026-03-01</t>
        </is>
      </c>
    </row>
    <row r="2">
      <c r="A2" s="2" t="inlineStr">
        <is>
          <t>Aggregates only (every row is &gt;= 10 loans). ECL and coverage are the published portfolio-level figures, loaded here and aggregated with live formulas (SUMIF). Confidence intervals reflect parameter uncertainty only (from repeated parameter draws), not model or sampling uncertainty.</t>
        </is>
      </c>
    </row>
    <row r="4">
      <c r="A4" s="3" t="inlineStr">
        <is>
          <t>grade</t>
        </is>
      </c>
      <c r="B4" s="3" t="inlineStr">
        <is>
          <t>stage</t>
        </is>
      </c>
      <c r="C4" s="3" t="inlineStr">
        <is>
          <t>n_loans</t>
        </is>
      </c>
      <c r="D4" s="3" t="inlineStr">
        <is>
          <t>ead</t>
        </is>
      </c>
      <c r="E4" s="3" t="inlineStr">
        <is>
          <t>ecl</t>
        </is>
      </c>
      <c r="F4" s="3" t="inlineStr">
        <is>
          <t>ecl_ci_low</t>
        </is>
      </c>
      <c r="G4" s="3" t="inlineStr">
        <is>
          <t>ecl_ci_high</t>
        </is>
      </c>
      <c r="H4" s="3" t="inlineStr">
        <is>
          <t>coverage</t>
        </is>
      </c>
    </row>
    <row r="5">
      <c r="A5" s="4" t="inlineStr">
        <is>
          <t>A</t>
        </is>
      </c>
      <c r="B5" s="4" t="inlineStr">
        <is>
          <t>1</t>
        </is>
      </c>
      <c r="C5" s="4" t="n">
        <v>152375</v>
      </c>
      <c r="D5" s="4" t="n">
        <v>34242968979.33</v>
      </c>
      <c r="E5" s="4" t="n">
        <v>6762066.745219051</v>
      </c>
      <c r="F5" s="4" t="n">
        <v>6633146.368549451</v>
      </c>
      <c r="G5" s="4" t="n">
        <v>6892784.206238985</v>
      </c>
      <c r="H5" s="10">
        <f>E5/D5</f>
        <v/>
      </c>
    </row>
    <row r="6">
      <c r="A6" s="4" t="inlineStr">
        <is>
          <t>A</t>
        </is>
      </c>
      <c r="B6" s="4" t="inlineStr">
        <is>
          <t>2</t>
        </is>
      </c>
      <c r="C6" s="4" t="n">
        <v>2876</v>
      </c>
      <c r="D6" s="4" t="n">
        <v>596332344.15</v>
      </c>
      <c r="E6" s="4" t="n">
        <v>2368938.49011848</v>
      </c>
      <c r="F6" s="4" t="n">
        <v>2326620.880648594</v>
      </c>
      <c r="G6" s="4" t="n">
        <v>2411958.590793906</v>
      </c>
      <c r="H6" s="10">
        <f>E6/D6</f>
        <v/>
      </c>
    </row>
    <row r="7">
      <c r="A7" s="4" t="inlineStr">
        <is>
          <t>A</t>
        </is>
      </c>
      <c r="B7" s="4" t="inlineStr">
        <is>
          <t>3</t>
        </is>
      </c>
      <c r="C7" s="4" t="n">
        <v>318</v>
      </c>
      <c r="D7" s="4" t="n">
        <v>60222648.12</v>
      </c>
      <c r="E7" s="4" t="n">
        <v>8416843.308712833</v>
      </c>
      <c r="F7" s="4" t="n">
        <v>8416843.308712833</v>
      </c>
      <c r="G7" s="4" t="n">
        <v>8416843.308712833</v>
      </c>
      <c r="H7" s="10">
        <f>E7/D7</f>
        <v/>
      </c>
    </row>
    <row r="8">
      <c r="A8" s="4" t="inlineStr">
        <is>
          <t>B</t>
        </is>
      </c>
      <c r="B8" s="4" t="inlineStr">
        <is>
          <t>1</t>
        </is>
      </c>
      <c r="C8" s="4" t="n">
        <v>55145</v>
      </c>
      <c r="D8" s="4" t="n">
        <v>13638758264.98</v>
      </c>
      <c r="E8" s="4" t="n">
        <v>8255886.631960248</v>
      </c>
      <c r="F8" s="4" t="n">
        <v>8123142.359061063</v>
      </c>
      <c r="G8" s="4" t="n">
        <v>8403322.992049426</v>
      </c>
      <c r="H8" s="10">
        <f>E8/D8</f>
        <v/>
      </c>
    </row>
    <row r="9">
      <c r="A9" s="4" t="inlineStr">
        <is>
          <t>B</t>
        </is>
      </c>
      <c r="B9" s="4" t="inlineStr">
        <is>
          <t>2</t>
        </is>
      </c>
      <c r="C9" s="4" t="n">
        <v>16164</v>
      </c>
      <c r="D9" s="4" t="n">
        <v>4327951803.3</v>
      </c>
      <c r="E9" s="4" t="n">
        <v>19506936.47916442</v>
      </c>
      <c r="F9" s="4" t="n">
        <v>18870320.14580914</v>
      </c>
      <c r="G9" s="4" t="n">
        <v>20137620.59658819</v>
      </c>
      <c r="H9" s="10">
        <f>E9/D9</f>
        <v/>
      </c>
    </row>
    <row r="10">
      <c r="A10" s="4" t="inlineStr">
        <is>
          <t>B</t>
        </is>
      </c>
      <c r="B10" s="4" t="inlineStr">
        <is>
          <t>3</t>
        </is>
      </c>
      <c r="C10" s="4" t="n">
        <v>451</v>
      </c>
      <c r="D10" s="4" t="n">
        <v>117757284.27</v>
      </c>
      <c r="E10" s="4" t="n">
        <v>14812177.54274491</v>
      </c>
      <c r="F10" s="4" t="n">
        <v>14812177.54274491</v>
      </c>
      <c r="G10" s="4" t="n">
        <v>14812177.54274491</v>
      </c>
      <c r="H10" s="10">
        <f>E10/D10</f>
        <v/>
      </c>
    </row>
    <row r="11">
      <c r="A11" s="4" t="inlineStr">
        <is>
          <t>C</t>
        </is>
      </c>
      <c r="B11" s="4" t="inlineStr">
        <is>
          <t>1</t>
        </is>
      </c>
      <c r="C11" s="4" t="n">
        <v>40218</v>
      </c>
      <c r="D11" s="4" t="n">
        <v>9598049687.01</v>
      </c>
      <c r="E11" s="4" t="n">
        <v>9246966.601884078</v>
      </c>
      <c r="F11" s="4" t="n">
        <v>9111018.738659613</v>
      </c>
      <c r="G11" s="4" t="n">
        <v>9383524.46372341</v>
      </c>
      <c r="H11" s="10">
        <f>E11/D11</f>
        <v/>
      </c>
    </row>
    <row r="12">
      <c r="A12" s="4" t="inlineStr">
        <is>
          <t>C</t>
        </is>
      </c>
      <c r="B12" s="4" t="inlineStr">
        <is>
          <t>2</t>
        </is>
      </c>
      <c r="C12" s="4" t="n">
        <v>12655</v>
      </c>
      <c r="D12" s="4" t="n">
        <v>3241242514.74</v>
      </c>
      <c r="E12" s="4" t="n">
        <v>28862471.14801469</v>
      </c>
      <c r="F12" s="4" t="n">
        <v>28060883.81177909</v>
      </c>
      <c r="G12" s="4" t="n">
        <v>29621472.65707035</v>
      </c>
      <c r="H12" s="10">
        <f>E12/D12</f>
        <v/>
      </c>
    </row>
    <row r="13">
      <c r="A13" s="4" t="inlineStr">
        <is>
          <t>C</t>
        </is>
      </c>
      <c r="B13" s="4" t="inlineStr">
        <is>
          <t>3</t>
        </is>
      </c>
      <c r="C13" s="4" t="n">
        <v>658</v>
      </c>
      <c r="D13" s="4" t="n">
        <v>165967491.65</v>
      </c>
      <c r="E13" s="4" t="n">
        <v>22942046.32854287</v>
      </c>
      <c r="F13" s="4" t="n">
        <v>22942046.32854287</v>
      </c>
      <c r="G13" s="4" t="n">
        <v>22942046.32854287</v>
      </c>
      <c r="H13" s="10">
        <f>E13/D13</f>
        <v/>
      </c>
    </row>
    <row r="14">
      <c r="A14" s="4" t="inlineStr">
        <is>
          <t>D</t>
        </is>
      </c>
      <c r="B14" s="4" t="inlineStr">
        <is>
          <t>1</t>
        </is>
      </c>
      <c r="C14" s="4" t="n">
        <v>24285</v>
      </c>
      <c r="D14" s="4" t="n">
        <v>5570898583.21</v>
      </c>
      <c r="E14" s="4" t="n">
        <v>7637064.997569833</v>
      </c>
      <c r="F14" s="4" t="n">
        <v>7522427.788187429</v>
      </c>
      <c r="G14" s="4" t="n">
        <v>7748560.297016285</v>
      </c>
      <c r="H14" s="10">
        <f>E14/D14</f>
        <v/>
      </c>
    </row>
    <row r="15">
      <c r="A15" s="4" t="inlineStr">
        <is>
          <t>D</t>
        </is>
      </c>
      <c r="B15" s="4" t="inlineStr">
        <is>
          <t>2</t>
        </is>
      </c>
      <c r="C15" s="4" t="n">
        <v>7801</v>
      </c>
      <c r="D15" s="4" t="n">
        <v>1905828523.2</v>
      </c>
      <c r="E15" s="4" t="n">
        <v>28217743.75694815</v>
      </c>
      <c r="F15" s="4" t="n">
        <v>27567139.24206662</v>
      </c>
      <c r="G15" s="4" t="n">
        <v>28843788.99945944</v>
      </c>
      <c r="H15" s="10">
        <f>E15/D15</f>
        <v/>
      </c>
    </row>
    <row r="16">
      <c r="A16" s="4" t="inlineStr">
        <is>
          <t>D</t>
        </is>
      </c>
      <c r="B16" s="4" t="inlineStr">
        <is>
          <t>3</t>
        </is>
      </c>
      <c r="C16" s="4" t="n">
        <v>635</v>
      </c>
      <c r="D16" s="4" t="n">
        <v>153555041</v>
      </c>
      <c r="E16" s="4" t="n">
        <v>23265345.53290449</v>
      </c>
      <c r="F16" s="4" t="n">
        <v>23265345.53290449</v>
      </c>
      <c r="G16" s="4" t="n">
        <v>23265345.53290449</v>
      </c>
      <c r="H16" s="10">
        <f>E16/D16</f>
        <v/>
      </c>
    </row>
    <row r="17">
      <c r="A17" s="4" t="inlineStr">
        <is>
          <t>E</t>
        </is>
      </c>
      <c r="B17" s="4" t="inlineStr">
        <is>
          <t>1</t>
        </is>
      </c>
      <c r="C17" s="4" t="n">
        <v>13190</v>
      </c>
      <c r="D17" s="4" t="n">
        <v>2869468479.63</v>
      </c>
      <c r="E17" s="4" t="n">
        <v>5123016.767354822</v>
      </c>
      <c r="F17" s="4" t="n">
        <v>5042308.712158261</v>
      </c>
      <c r="G17" s="4" t="n">
        <v>5206765.642775891</v>
      </c>
      <c r="H17" s="10">
        <f>E17/D17</f>
        <v/>
      </c>
    </row>
    <row r="18">
      <c r="A18" s="4" t="inlineStr">
        <is>
          <t>E</t>
        </is>
      </c>
      <c r="B18" s="4" t="inlineStr">
        <is>
          <t>2</t>
        </is>
      </c>
      <c r="C18" s="4" t="n">
        <v>4471</v>
      </c>
      <c r="D18" s="4" t="n">
        <v>1057144007.26</v>
      </c>
      <c r="E18" s="4" t="n">
        <v>23340644.12900482</v>
      </c>
      <c r="F18" s="4" t="n">
        <v>22864799.53805601</v>
      </c>
      <c r="G18" s="4" t="n">
        <v>23814439.6843957</v>
      </c>
      <c r="H18" s="10">
        <f>E18/D18</f>
        <v/>
      </c>
    </row>
    <row r="19">
      <c r="A19" s="4" t="inlineStr">
        <is>
          <t>E</t>
        </is>
      </c>
      <c r="B19" s="4" t="inlineStr">
        <is>
          <t>3</t>
        </is>
      </c>
      <c r="C19" s="4" t="n">
        <v>549</v>
      </c>
      <c r="D19" s="4" t="n">
        <v>128504742.82</v>
      </c>
      <c r="E19" s="4" t="n">
        <v>20863325.970073</v>
      </c>
      <c r="F19" s="4" t="n">
        <v>20863325.970073</v>
      </c>
      <c r="G19" s="4" t="n">
        <v>20863325.970073</v>
      </c>
      <c r="H19" s="10">
        <f>E19/D19</f>
        <v/>
      </c>
    </row>
    <row r="20">
      <c r="A20" s="4" t="inlineStr">
        <is>
          <t>F</t>
        </is>
      </c>
      <c r="B20" s="4" t="inlineStr">
        <is>
          <t>1</t>
        </is>
      </c>
      <c r="C20" s="4" t="n">
        <v>5562</v>
      </c>
      <c r="D20" s="4" t="n">
        <v>1157131526.44</v>
      </c>
      <c r="E20" s="4" t="n">
        <v>2679521.769312123</v>
      </c>
      <c r="F20" s="4" t="n">
        <v>2625437.55298818</v>
      </c>
      <c r="G20" s="4" t="n">
        <v>2731918.853384495</v>
      </c>
      <c r="H20" s="10">
        <f>E20/D20</f>
        <v/>
      </c>
    </row>
    <row r="21">
      <c r="A21" s="4" t="inlineStr">
        <is>
          <t>F</t>
        </is>
      </c>
      <c r="B21" s="4" t="inlineStr">
        <is>
          <t>2</t>
        </is>
      </c>
      <c r="C21" s="4" t="n">
        <v>2020</v>
      </c>
      <c r="D21" s="4" t="n">
        <v>484536626.58</v>
      </c>
      <c r="E21" s="4" t="n">
        <v>15368983.50315078</v>
      </c>
      <c r="F21" s="4" t="n">
        <v>15049418.49273822</v>
      </c>
      <c r="G21" s="4" t="n">
        <v>15659257.00347464</v>
      </c>
      <c r="H21" s="10">
        <f>E21/D21</f>
        <v/>
      </c>
    </row>
    <row r="22">
      <c r="A22" s="4" t="inlineStr">
        <is>
          <t>F</t>
        </is>
      </c>
      <c r="B22" s="4" t="inlineStr">
        <is>
          <t>3</t>
        </is>
      </c>
      <c r="C22" s="4" t="n">
        <v>307</v>
      </c>
      <c r="D22" s="4" t="n">
        <v>76454650</v>
      </c>
      <c r="E22" s="4" t="n">
        <v>11503571.93233004</v>
      </c>
      <c r="F22" s="4" t="n">
        <v>11503571.93233004</v>
      </c>
      <c r="G22" s="4" t="n">
        <v>11503571.93233004</v>
      </c>
      <c r="H22" s="10">
        <f>E22/D22</f>
        <v/>
      </c>
    </row>
    <row r="23">
      <c r="A23" s="4" t="inlineStr">
        <is>
          <t>G</t>
        </is>
      </c>
      <c r="B23" s="4" t="inlineStr">
        <is>
          <t>1</t>
        </is>
      </c>
      <c r="C23" s="4" t="n">
        <v>2099</v>
      </c>
      <c r="D23" s="4" t="n">
        <v>422474075.13</v>
      </c>
      <c r="E23" s="4" t="n">
        <v>1265368.623796876</v>
      </c>
      <c r="F23" s="4" t="n">
        <v>1237739.61872832</v>
      </c>
      <c r="G23" s="4" t="n">
        <v>1297074.014855306</v>
      </c>
      <c r="H23" s="10">
        <f>E23/D23</f>
        <v/>
      </c>
    </row>
    <row r="24">
      <c r="A24" s="4" t="inlineStr">
        <is>
          <t>G</t>
        </is>
      </c>
      <c r="B24" s="4" t="inlineStr">
        <is>
          <t>2</t>
        </is>
      </c>
      <c r="C24" s="4" t="n">
        <v>681</v>
      </c>
      <c r="D24" s="4" t="n">
        <v>152977212.93</v>
      </c>
      <c r="E24" s="4" t="n">
        <v>6650146.432232808</v>
      </c>
      <c r="F24" s="4" t="n">
        <v>6514574.573680663</v>
      </c>
      <c r="G24" s="4" t="n">
        <v>6784693.153228008</v>
      </c>
      <c r="H24" s="10">
        <f>E24/D24</f>
        <v/>
      </c>
    </row>
    <row r="25">
      <c r="A25" s="4" t="inlineStr">
        <is>
          <t>G</t>
        </is>
      </c>
      <c r="B25" s="4" t="inlineStr">
        <is>
          <t>3</t>
        </is>
      </c>
      <c r="C25" s="4" t="n">
        <v>127</v>
      </c>
      <c r="D25" s="4" t="n">
        <v>31136046.94</v>
      </c>
      <c r="E25" s="4" t="n">
        <v>5265457.237304708</v>
      </c>
      <c r="F25" s="4" t="n">
        <v>5265457.237304708</v>
      </c>
      <c r="G25" s="4" t="n">
        <v>5265457.237304708</v>
      </c>
      <c r="H25" s="10">
        <f>E25/D25</f>
        <v/>
      </c>
    </row>
    <row r="27">
      <c r="A27" s="3" t="inlineStr">
        <is>
          <t>Portfolio totals</t>
        </is>
      </c>
    </row>
    <row r="28">
      <c r="A28" t="inlineStr">
        <is>
          <t>Total EAD</t>
        </is>
      </c>
      <c r="C28" s="8">
        <f>SUM(ECL_EAD)</f>
        <v/>
      </c>
    </row>
    <row r="29">
      <c r="A29" t="inlineStr">
        <is>
          <t>12-month ECL (stage 1)</t>
        </is>
      </c>
      <c r="C29" s="8">
        <f>SUMIF(ECL_STAGE,"1",ECL_VALUE)</f>
        <v/>
      </c>
    </row>
    <row r="30">
      <c r="A30" t="inlineStr">
        <is>
          <t>Lifetime ECL (stage 2 + 3)</t>
        </is>
      </c>
      <c r="C30" s="8">
        <f>SUMIF(ECL_STAGE,"2",ECL_VALUE)+SUMIF(ECL_STAGE,"3",ECL_VALUE)</f>
        <v/>
      </c>
    </row>
    <row r="31">
      <c r="A31" t="inlineStr">
        <is>
          <t>Total ECL</t>
        </is>
      </c>
      <c r="C31" s="9">
        <f>C29+C30</f>
        <v/>
      </c>
    </row>
    <row r="32">
      <c r="A32" t="inlineStr">
        <is>
          <t>Portfolio coverage ratio</t>
        </is>
      </c>
      <c r="C32" s="10">
        <f>C31/C28</f>
        <v/>
      </c>
    </row>
    <row r="34">
      <c r="A34" s="3" t="inlineStr">
        <is>
          <t>Sensitivity: total ECL under LGD/PD multipliers</t>
        </is>
      </c>
    </row>
    <row r="35">
      <c r="A35" s="2" t="inlineStr">
        <is>
          <t>Illustrative overlay only (Total ECL x PD multiplier x LGD multiplier). Not a re-run of the hazard/LGD model, and not part of the reconciled totals above.</t>
        </is>
      </c>
    </row>
    <row r="36">
      <c r="A36" t="inlineStr">
        <is>
          <t>PD mult \ LGD mult</t>
        </is>
      </c>
      <c r="B36" s="3" t="n">
        <v>0.8</v>
      </c>
      <c r="C36" s="3" t="n">
        <v>1</v>
      </c>
      <c r="D36" s="3" t="n">
        <v>1.2</v>
      </c>
    </row>
    <row r="37">
      <c r="A37" s="3" t="n">
        <v>0.8</v>
      </c>
      <c r="B37" s="8">
        <f>TOTAL_ECL*0.8*B$36</f>
        <v/>
      </c>
      <c r="C37" s="8">
        <f>TOTAL_ECL*0.8*C$36</f>
        <v/>
      </c>
      <c r="D37" s="8">
        <f>TOTAL_ECL*0.8*D$36</f>
        <v/>
      </c>
    </row>
    <row r="38">
      <c r="A38" s="3" t="n">
        <v>1</v>
      </c>
      <c r="B38" s="8">
        <f>TOTAL_ECL*1.0*B$36</f>
        <v/>
      </c>
      <c r="C38" s="8">
        <f>TOTAL_ECL*1.0*C$36</f>
        <v/>
      </c>
      <c r="D38" s="8">
        <f>TOTAL_ECL*1.0*D$36</f>
        <v/>
      </c>
    </row>
    <row r="39">
      <c r="A39" s="3" t="n">
        <v>1.2</v>
      </c>
      <c r="B39" s="8">
        <f>TOTAL_ECL*1.2*B$36</f>
        <v/>
      </c>
      <c r="C39" s="8">
        <f>TOTAL_ECL*1.2*C$36</f>
        <v/>
      </c>
      <c r="D39" s="8">
        <f>TOTAL_ECL*1.2*D$36</f>
        <v/>
      </c>
    </row>
  </sheetData>
  <mergeCells count="2">
    <mergeCell ref="A2:I2"/>
    <mergeCell ref="A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Summary</t>
        </is>
      </c>
    </row>
    <row r="2">
      <c r="A2" s="2" t="inlineStr">
        <is>
          <t>US mortgages (Freddie Mac sample, non-commercial research). Illustrative workbook; the ECL intervals shown reflect parameter uncertainty only, not model or sampling risk.</t>
        </is>
      </c>
    </row>
    <row r="4">
      <c r="A4" t="inlineStr">
        <is>
          <t>Total EAD</t>
        </is>
      </c>
      <c r="B4" s="8">
        <f>TOTAL_EAD</f>
        <v/>
      </c>
    </row>
    <row r="5">
      <c r="A5" t="inlineStr">
        <is>
          <t>12-month ECL (stage 1)</t>
        </is>
      </c>
      <c r="B5" s="8">
        <f>ECL_12M</f>
        <v/>
      </c>
    </row>
    <row r="6">
      <c r="A6" t="inlineStr">
        <is>
          <t>Lifetime ECL (stage 2 + 3)</t>
        </is>
      </c>
      <c r="B6" s="8">
        <f>ECL_LIFETIME</f>
        <v/>
      </c>
    </row>
    <row r="7">
      <c r="A7" t="inlineStr">
        <is>
          <t>Total ECL</t>
        </is>
      </c>
      <c r="B7" s="8">
        <f>TOTAL_ECL</f>
        <v/>
      </c>
    </row>
    <row r="8">
      <c r="A8" t="inlineStr">
        <is>
          <t>Coverage ratio</t>
        </is>
      </c>
      <c r="B8" s="10">
        <f>TOTAL_ECL/TOTAL_EAD</f>
        <v/>
      </c>
    </row>
    <row r="10">
      <c r="A10" s="3" t="inlineStr">
        <is>
          <t>Stage mix (EAD)</t>
        </is>
      </c>
    </row>
    <row r="11">
      <c r="A11" s="3" t="inlineStr">
        <is>
          <t>stage</t>
        </is>
      </c>
      <c r="B11" s="3" t="inlineStr">
        <is>
          <t>ead</t>
        </is>
      </c>
    </row>
    <row r="12">
      <c r="A12" t="inlineStr">
        <is>
          <t>Stage 1</t>
        </is>
      </c>
      <c r="B12" s="8">
        <f>SUMIF(ECL_STAGE,"1",ECL_EAD)</f>
        <v/>
      </c>
    </row>
    <row r="13">
      <c r="A13" t="inlineStr">
        <is>
          <t>Stage 2</t>
        </is>
      </c>
      <c r="B13" s="8">
        <f>SUMIF(ECL_STAGE,"2",ECL_EAD)</f>
        <v/>
      </c>
    </row>
    <row r="14">
      <c r="A14" t="inlineStr">
        <is>
          <t>Stage 3</t>
        </is>
      </c>
      <c r="B14" s="8">
        <f>SUMIF(ECL_STAGE,"3",ECL_EAD)</f>
        <v/>
      </c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2026-09-28T05:00:05Z</dcterms:created>
  <dcterms:modified xsi:type="dcterms:W3CDTF">2026-09-28T05:00:05Z</dcterms:modified>
</cp:coreProperties>
</file>